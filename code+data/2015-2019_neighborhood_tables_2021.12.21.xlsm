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laudia/Downloads/Northeastern/Spring 2023/DS 4200/temp_district_7/"/>
    </mc:Choice>
  </mc:AlternateContent>
  <xr:revisionPtr revIDLastSave="0" documentId="8_{804BAD03-D430-E146-BC6A-7ACA0BDF436B}" xr6:coauthVersionLast="47" xr6:coauthVersionMax="47" xr10:uidLastSave="{00000000-0000-0000-0000-000000000000}"/>
  <bookViews>
    <workbookView xWindow="0" yWindow="500" windowWidth="25200" windowHeight="15500" firstSheet="9" activeTab="15" xr2:uid="{00000000-000D-0000-FFFF-FFFF00000000}"/>
  </bookViews>
  <sheets>
    <sheet name="Age" sheetId="1" r:id="rId1"/>
    <sheet name="Household Type" sheetId="3" r:id="rId2"/>
    <sheet name="Race" sheetId="4" r:id="rId3"/>
    <sheet name="Group Quarters Population" sheetId="5" r:id="rId4"/>
    <sheet name="Nativity" sheetId="6" r:id="rId5"/>
    <sheet name="Geographic Mobility" sheetId="9" r:id="rId6"/>
    <sheet name="Educational Attainment" sheetId="7" r:id="rId7"/>
    <sheet name="School Enrollment" sheetId="8" r:id="rId8"/>
    <sheet name="Means of Commuting" sheetId="12" r:id="rId9"/>
    <sheet name="Travel Time to Work" sheetId="13" r:id="rId10"/>
    <sheet name="Place of Work" sheetId="14" r:id="rId11"/>
    <sheet name="Per Capita Income" sheetId="15" r:id="rId12"/>
    <sheet name="Occupation" sheetId="16" r:id="rId13"/>
    <sheet name="Industries" sheetId="17" r:id="rId14"/>
    <sheet name="Labor Force" sheetId="18" r:id="rId15"/>
    <sheet name="Household Income" sheetId="19" r:id="rId16"/>
    <sheet name="Family Income" sheetId="20" r:id="rId17"/>
    <sheet name="Housing Tenure" sheetId="21" r:id="rId18"/>
    <sheet name="Bedrooms" sheetId="27" r:id="rId19"/>
    <sheet name="Vacancy Rates" sheetId="22" r:id="rId20"/>
    <sheet name="Vehicles per Household" sheetId="23" r:id="rId21"/>
    <sheet name="Poverty Rates" sheetId="26" r:id="rId22"/>
    <sheet name="Poverty Rates by Age" sheetId="24" r:id="rId23"/>
  </sheet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3" i="12" l="1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32" i="12"/>
  <c r="V23" i="7"/>
  <c r="Y23" i="7"/>
  <c r="X23" i="7"/>
  <c r="Y22" i="7"/>
  <c r="Y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W15" i="7"/>
  <c r="W16" i="7"/>
  <c r="W17" i="7"/>
  <c r="W18" i="7"/>
  <c r="W19" i="7"/>
  <c r="W20" i="7"/>
  <c r="W21" i="7"/>
  <c r="W22" i="7"/>
  <c r="W23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7" i="24"/>
  <c r="V6" i="24"/>
  <c r="AC8" i="12"/>
  <c r="AD8" i="12"/>
  <c r="AE8" i="12"/>
  <c r="AC9" i="12"/>
  <c r="AD9" i="12"/>
  <c r="AE9" i="12"/>
  <c r="AC10" i="12"/>
  <c r="AD10" i="12"/>
  <c r="AE10" i="12"/>
  <c r="AC11" i="12"/>
  <c r="AD11" i="12"/>
  <c r="AE11" i="12"/>
  <c r="AC12" i="12"/>
  <c r="AD12" i="12"/>
  <c r="AE12" i="12"/>
  <c r="AC13" i="12"/>
  <c r="AD13" i="12"/>
  <c r="AE13" i="12"/>
  <c r="AC14" i="12"/>
  <c r="AD14" i="12"/>
  <c r="AE14" i="12"/>
  <c r="AC15" i="12"/>
  <c r="AD15" i="12"/>
  <c r="AE15" i="12"/>
  <c r="AC16" i="12"/>
  <c r="AD16" i="12"/>
  <c r="AE16" i="12"/>
  <c r="AC17" i="12"/>
  <c r="AD17" i="12"/>
  <c r="AE17" i="12"/>
  <c r="AC18" i="12"/>
  <c r="AD18" i="12"/>
  <c r="AE18" i="12"/>
  <c r="AC19" i="12"/>
  <c r="AD19" i="12"/>
  <c r="AE19" i="12"/>
  <c r="AC20" i="12"/>
  <c r="AD20" i="12"/>
  <c r="AE20" i="12"/>
  <c r="AC21" i="12"/>
  <c r="AD21" i="12"/>
  <c r="AE21" i="12"/>
  <c r="AC22" i="12"/>
  <c r="AD22" i="12"/>
  <c r="AE22" i="12"/>
  <c r="AC23" i="12"/>
  <c r="AD23" i="12"/>
  <c r="AE23" i="12"/>
  <c r="AC24" i="12"/>
  <c r="AD24" i="12"/>
  <c r="AE24" i="12"/>
  <c r="AC25" i="12"/>
  <c r="AD25" i="12"/>
  <c r="AE25" i="12"/>
  <c r="AC26" i="12"/>
  <c r="AD26" i="12"/>
  <c r="AE26" i="12"/>
  <c r="AC27" i="12"/>
  <c r="AD27" i="12"/>
  <c r="AE27" i="12"/>
  <c r="AC28" i="12"/>
  <c r="AD28" i="12"/>
  <c r="AE28" i="12"/>
  <c r="AC29" i="12"/>
  <c r="AD29" i="12"/>
  <c r="AE29" i="12"/>
  <c r="AE7" i="12"/>
  <c r="AD7" i="12"/>
  <c r="AC7" i="12"/>
</calcChain>
</file>

<file path=xl/sharedStrings.xml><?xml version="1.0" encoding="utf-8"?>
<sst xmlns="http://schemas.openxmlformats.org/spreadsheetml/2006/main" count="1111" uniqueCount="276">
  <si>
    <t>Total Population</t>
  </si>
  <si>
    <t>Median Age</t>
  </si>
  <si>
    <t>0-9 years</t>
  </si>
  <si>
    <t>%</t>
  </si>
  <si>
    <t>10-17 years</t>
  </si>
  <si>
    <t>18-19 years</t>
  </si>
  <si>
    <t>20-34 years</t>
  </si>
  <si>
    <t>35-59 years</t>
  </si>
  <si>
    <t>60 and over</t>
  </si>
  <si>
    <t xml:space="preserve">United States </t>
  </si>
  <si>
    <t>Massachusetts</t>
  </si>
  <si>
    <t>Boston</t>
  </si>
  <si>
    <t>Allston</t>
  </si>
  <si>
    <t xml:space="preserve">Back Bay </t>
  </si>
  <si>
    <t xml:space="preserve">Beacon Hill </t>
  </si>
  <si>
    <t>Brighton</t>
  </si>
  <si>
    <t>Charlestown</t>
  </si>
  <si>
    <t>Dorchester</t>
  </si>
  <si>
    <t>Downtown</t>
  </si>
  <si>
    <t>East Boston</t>
  </si>
  <si>
    <t>Fenway</t>
  </si>
  <si>
    <t>Hyde Park</t>
  </si>
  <si>
    <t>Jamaica Plain</t>
  </si>
  <si>
    <t>Longwood</t>
  </si>
  <si>
    <t>Mattapan</t>
  </si>
  <si>
    <t xml:space="preserve">Mission Hill </t>
  </si>
  <si>
    <t xml:space="preserve">North End </t>
  </si>
  <si>
    <t>Roslindale</t>
  </si>
  <si>
    <t>Roxbury</t>
  </si>
  <si>
    <t>South Boston</t>
  </si>
  <si>
    <t>South Boston Waterfront</t>
  </si>
  <si>
    <t xml:space="preserve">South End </t>
  </si>
  <si>
    <t xml:space="preserve">West End </t>
  </si>
  <si>
    <t>West Roxbury</t>
  </si>
  <si>
    <t>Source: U.S. Census Bureau, 2015-2019 American Community Survey, BPDA Research Division Analysis</t>
  </si>
  <si>
    <t>Table Name: Sex by Age</t>
  </si>
  <si>
    <t>Table ID:  B01001</t>
  </si>
  <si>
    <t>Universe: Total Population</t>
  </si>
  <si>
    <t>Total</t>
  </si>
  <si>
    <t>Married-couple family</t>
  </si>
  <si>
    <t>Male householder, no spouse present</t>
  </si>
  <si>
    <t>Female householder, no spouse present</t>
  </si>
  <si>
    <t>Householder living alone</t>
  </si>
  <si>
    <t>Householder not living alone</t>
  </si>
  <si>
    <t>United States</t>
  </si>
  <si>
    <t>Back Bay</t>
  </si>
  <si>
    <t>Beacon Hill</t>
  </si>
  <si>
    <t>Mission Hill</t>
  </si>
  <si>
    <t>North End</t>
  </si>
  <si>
    <t>South End</t>
  </si>
  <si>
    <t>West End</t>
  </si>
  <si>
    <t>Table Name: Household Type(Including living alone)</t>
  </si>
  <si>
    <t>Table ID:  B11001</t>
  </si>
  <si>
    <t>Universe: Households</t>
  </si>
  <si>
    <t>White Alone</t>
  </si>
  <si>
    <t>Black/African-American</t>
  </si>
  <si>
    <t>Hispanic</t>
  </si>
  <si>
    <t>Asian alone</t>
  </si>
  <si>
    <t>Other Races</t>
  </si>
  <si>
    <t>Table Name: Hispanic or Latino Origin by Race</t>
  </si>
  <si>
    <t>Table ID:  B03002</t>
  </si>
  <si>
    <t xml:space="preserve">Universe: Total Population </t>
  </si>
  <si>
    <t>Population In Group Quarters</t>
  </si>
  <si>
    <t>Source: U.S. Census Bureau, 2014-2018 American Community Survey, BPDA Research Division Analysis</t>
  </si>
  <si>
    <t>Table Name: Group Quarters Population for Population in Group Quarters</t>
  </si>
  <si>
    <t>Table ID:  B26001</t>
  </si>
  <si>
    <t>Universe: Population in Group Quarters</t>
  </si>
  <si>
    <t>Total Population:</t>
  </si>
  <si>
    <t>U.S. citizen, born in the United States</t>
  </si>
  <si>
    <t>U.S. citizen, born in Puerto Rico or U.S. Island Areas</t>
  </si>
  <si>
    <t>U.S. citizen, born abroad of American parent(s)</t>
  </si>
  <si>
    <t>Native-born U.S citizens</t>
  </si>
  <si>
    <t>U.S. citizen by naturalization/ Foreign-born U.S. citizens</t>
  </si>
  <si>
    <t>Not a U.S. citizen</t>
  </si>
  <si>
    <t>Table Name: Nativity and Citizenship Status in the United States</t>
  </si>
  <si>
    <t>Table ID:  B05001</t>
  </si>
  <si>
    <t>Universe: Total Population in Group Quarters</t>
  </si>
  <si>
    <t>Total:</t>
  </si>
  <si>
    <t>Same house 1 year ago:</t>
  </si>
  <si>
    <t>Moved within same county:</t>
  </si>
  <si>
    <t>Moved from different county within same state:</t>
  </si>
  <si>
    <t>Moved from different state:</t>
  </si>
  <si>
    <t>Moved from abroad:</t>
  </si>
  <si>
    <t>Table Name: Geographical Mobility in the Past Year by Sex for Current Residence in the United States</t>
  </si>
  <si>
    <t>Table ID:  B07003</t>
  </si>
  <si>
    <t>Universe: Population 1 year and over in the United States</t>
  </si>
  <si>
    <t>Total population 25 years and over</t>
  </si>
  <si>
    <t xml:space="preserve">Less than High School </t>
  </si>
  <si>
    <t>High School Graduate</t>
  </si>
  <si>
    <t>GED or Alternative Credential</t>
  </si>
  <si>
    <t xml:space="preserve">Some College </t>
  </si>
  <si>
    <t>Associate's Degree</t>
  </si>
  <si>
    <t>Bachelor's Degree</t>
  </si>
  <si>
    <t xml:space="preserve"> Master's Degree or more</t>
  </si>
  <si>
    <t>High School Graduate/GED or Alternative Credential</t>
  </si>
  <si>
    <t>Some College/Associate's Degree</t>
  </si>
  <si>
    <t>Table Name: Educational Attainment for the Population 25 Years an Over</t>
  </si>
  <si>
    <t>Table ID:  B15003</t>
  </si>
  <si>
    <t>Universe: Population 25 years and over</t>
  </si>
  <si>
    <t>Population Age 3+</t>
  </si>
  <si>
    <t>Enrolled in school:</t>
  </si>
  <si>
    <t xml:space="preserve">% </t>
  </si>
  <si>
    <t>Enrolled in nursery school, preschool</t>
  </si>
  <si>
    <t>% of Enrolled</t>
  </si>
  <si>
    <t>Enrolled in kindergarten</t>
  </si>
  <si>
    <t>Enrolled in grade 1 to grade 4</t>
  </si>
  <si>
    <t>Enrolled in grade 5 to grade 8</t>
  </si>
  <si>
    <t>Enrolled in kindergarten to grade 8</t>
  </si>
  <si>
    <t>Enrolled in grade 9 to grade 12</t>
  </si>
  <si>
    <t>Enrolled in college, undergraduate years</t>
  </si>
  <si>
    <t>Graduate or professional school</t>
  </si>
  <si>
    <t>Table Name: School Enrollment by Level of School for the Population 3 years and over</t>
  </si>
  <si>
    <t>Table ID:  B14001</t>
  </si>
  <si>
    <t>Universe: Population 3 years and over</t>
  </si>
  <si>
    <t>Means of Commuting</t>
  </si>
  <si>
    <t>Workers 16 years and over</t>
  </si>
  <si>
    <t>Worked 
at home</t>
  </si>
  <si>
    <t>Car, truck, or van</t>
  </si>
  <si>
    <t>Bus or trolley bus</t>
  </si>
  <si>
    <t>Streetcar or trolley car</t>
  </si>
  <si>
    <t>Subway or elevated</t>
  </si>
  <si>
    <t>Railroad</t>
  </si>
  <si>
    <t>Bicycle</t>
  </si>
  <si>
    <t>Walked</t>
  </si>
  <si>
    <t>Other</t>
  </si>
  <si>
    <t>% of total workers</t>
  </si>
  <si>
    <t>Drove alone</t>
  </si>
  <si>
    <t>% of those in car, truck, or van</t>
  </si>
  <si>
    <t>Carpooled</t>
  </si>
  <si>
    <t>Total Public Transit</t>
  </si>
  <si>
    <t>Bus</t>
  </si>
  <si>
    <t>Subway or Train</t>
  </si>
  <si>
    <t>Worked at home</t>
  </si>
  <si>
    <t>car, truck, or van</t>
  </si>
  <si>
    <t xml:space="preserve">Bus or Trolley Bus </t>
  </si>
  <si>
    <t>Streetcar, Trolley Car, Subway, or elevated</t>
  </si>
  <si>
    <t>Table Name: Means of Transportation to Work</t>
  </si>
  <si>
    <t>Table ID:  B08301</t>
  </si>
  <si>
    <t>Universe: Workers 16 years and over</t>
  </si>
  <si>
    <t>Travel Time to Work</t>
  </si>
  <si>
    <t>0-29 minutes</t>
  </si>
  <si>
    <t>30-59 minutes</t>
  </si>
  <si>
    <t>60+ minutes</t>
  </si>
  <si>
    <t>Table Name: Travel Time to Work</t>
  </si>
  <si>
    <t>Table ID:  B08303</t>
  </si>
  <si>
    <t>Universe: Workers 16 years and over who did not work at home</t>
  </si>
  <si>
    <t>Place of Work</t>
  </si>
  <si>
    <t>Total Workers</t>
  </si>
  <si>
    <t>Worked in state of residence</t>
  </si>
  <si>
    <t>Worked in county of residence</t>
  </si>
  <si>
    <t>% of Total</t>
  </si>
  <si>
    <t>% of State</t>
  </si>
  <si>
    <t>Table Name: Sex of Workers by Place of Work-State and County Level</t>
  </si>
  <si>
    <t>Table ID:  B08007</t>
  </si>
  <si>
    <t>Per Capita Income</t>
  </si>
  <si>
    <t>Total population</t>
  </si>
  <si>
    <t>Aggregate income in the past 12 months (in 2019 Inflation-adjusted dollars)</t>
  </si>
  <si>
    <t>Table Name: Per capita Income in the Past 12 Months</t>
  </si>
  <si>
    <t>Table ID:  B19313</t>
  </si>
  <si>
    <t>Note: Download data by Census Tract and aggregate to Neighborhood from there, removing "NA" census tracts</t>
  </si>
  <si>
    <t>Occupation</t>
  </si>
  <si>
    <t>Civilian employed population 16 years and over</t>
  </si>
  <si>
    <t>Management, business, science, and arts</t>
  </si>
  <si>
    <t>Service</t>
  </si>
  <si>
    <t>Sales and office</t>
  </si>
  <si>
    <t>Natural resources, construction, and maintenance</t>
  </si>
  <si>
    <t>Production, transportation, and material moving</t>
  </si>
  <si>
    <t>Table Name: Sex by Occupation for the Civilian Employed Population 16 Years and Over</t>
  </si>
  <si>
    <t>Table ID:  C24010</t>
  </si>
  <si>
    <t>Universe: Civilian employed population 16 years and over</t>
  </si>
  <si>
    <t>Industries(1/2)</t>
  </si>
  <si>
    <t>Agriculture, forestry, fishing and hunting, and mining</t>
  </si>
  <si>
    <t>Construction</t>
  </si>
  <si>
    <t>Manufacturing</t>
  </si>
  <si>
    <t>Wholesale trade</t>
  </si>
  <si>
    <t>Retail trade</t>
  </si>
  <si>
    <t>Transportation and warehousing, and utilities</t>
  </si>
  <si>
    <t>Information</t>
  </si>
  <si>
    <t>Industries(2/2)</t>
  </si>
  <si>
    <t>Finance and insurance, and real estate and rental and leasing</t>
  </si>
  <si>
    <t>Professional, scientific, and management, and administrative and waste management services</t>
  </si>
  <si>
    <t>Educational services, and health care and social assistance</t>
  </si>
  <si>
    <t>Arts, entertainment, and recreation, and accommodation and food services</t>
  </si>
  <si>
    <t>Other services, except public administration</t>
  </si>
  <si>
    <t>Public administration</t>
  </si>
  <si>
    <t>Table Name: Sex by Industry for the Civilian Employed Population 16 Years and Over</t>
  </si>
  <si>
    <t>Table ID:  C24030</t>
  </si>
  <si>
    <t>Universe:  Civilian Employed Population 16 Years and Over</t>
  </si>
  <si>
    <t>Labor Force Participation</t>
  </si>
  <si>
    <t>Total Population 16+</t>
  </si>
  <si>
    <t>Population 16-19</t>
  </si>
  <si>
    <t>Population 20-34</t>
  </si>
  <si>
    <t>Population 35-64</t>
  </si>
  <si>
    <t>Population 65+</t>
  </si>
  <si>
    <t>Table Name: Sex by Age by Employment Status for the Population 16 Years and Over</t>
  </si>
  <si>
    <t>Table ID: B23001</t>
  </si>
  <si>
    <t>Universe: Population 16 years and over</t>
  </si>
  <si>
    <t>Median Income</t>
  </si>
  <si>
    <t>Total Households</t>
  </si>
  <si>
    <t>$14,999 and under</t>
  </si>
  <si>
    <t>$15,000 to $24,999</t>
  </si>
  <si>
    <t>$25,000 to $34,999</t>
  </si>
  <si>
    <t>$35,000 to $49,999</t>
  </si>
  <si>
    <t>$50,000 to $74,999</t>
  </si>
  <si>
    <t>$75,000 to $99,999</t>
  </si>
  <si>
    <t>$100,000 to $149,999</t>
  </si>
  <si>
    <t>$150,000 +</t>
  </si>
  <si>
    <t>Table Name: Household Income in the Past 12 Months</t>
  </si>
  <si>
    <t>Table ID:  B19001</t>
  </si>
  <si>
    <t>Note: Use Census income buckets for Median Calculator buckets</t>
  </si>
  <si>
    <t>Family Income</t>
  </si>
  <si>
    <t>Total Families</t>
  </si>
  <si>
    <t>Table Name: Family Income in the Past 12 Months</t>
  </si>
  <si>
    <t>Table ID:  B19101</t>
  </si>
  <si>
    <t>Universe: Families</t>
  </si>
  <si>
    <t>Housing Tenure</t>
  </si>
  <si>
    <t>Total Housing Units</t>
  </si>
  <si>
    <t>Total Occupied</t>
  </si>
  <si>
    <t>% of Total Housing Units Occupied</t>
  </si>
  <si>
    <t>Owner Occupied</t>
  </si>
  <si>
    <t>% of Occupied Units</t>
  </si>
  <si>
    <t>Renter Occupied</t>
  </si>
  <si>
    <t>Table Name: Housing Units</t>
  </si>
  <si>
    <t>Table ID:  B25003, B25001</t>
  </si>
  <si>
    <t>Universe: Housing Units</t>
  </si>
  <si>
    <t>Bedrooms</t>
  </si>
  <si>
    <t>Studio or 1 bedroom</t>
  </si>
  <si>
    <t>2 bedroom</t>
  </si>
  <si>
    <t>3 bedroom</t>
  </si>
  <si>
    <t>4+ bedroom</t>
  </si>
  <si>
    <t>Table Name: Bedrooms</t>
  </si>
  <si>
    <t>Table ID:  B25041</t>
  </si>
  <si>
    <t>Vacancy Rates</t>
  </si>
  <si>
    <t xml:space="preserve">Total Housing Units: </t>
  </si>
  <si>
    <t>Vacant Units</t>
  </si>
  <si>
    <t>% of Total Housing Units</t>
  </si>
  <si>
    <t>For rent</t>
  </si>
  <si>
    <t>% of Vacant</t>
  </si>
  <si>
    <t>Rented, not occupied</t>
  </si>
  <si>
    <t>For sale only</t>
  </si>
  <si>
    <t>Sold, not occupied</t>
  </si>
  <si>
    <t>For seasonal, recreational, or occasional use</t>
  </si>
  <si>
    <t>Other vacant</t>
  </si>
  <si>
    <t>Table Name: Vacancy Status</t>
  </si>
  <si>
    <t>Table ID:  B25004</t>
  </si>
  <si>
    <t>Universe: Vacant housing units</t>
  </si>
  <si>
    <t>Note: Other Vacant units include units held vacant for a variety of reasons, including renovation, foreclosure, and legal proceedings, or units that are devoted to a special use such as corporate housing or short-term rental.</t>
  </si>
  <si>
    <t>Vehicles Per Household</t>
  </si>
  <si>
    <t>No Access to a Vehicle</t>
  </si>
  <si>
    <t>1 Vehicle</t>
  </si>
  <si>
    <t>2 Vehicles</t>
  </si>
  <si>
    <t>3+ Vehicles</t>
  </si>
  <si>
    <t>Table Name: Households by Vehicles Available</t>
  </si>
  <si>
    <t>Table ID:  B08201</t>
  </si>
  <si>
    <t>Poverty Rates</t>
  </si>
  <si>
    <t>Total population for whom poverty status is determined</t>
  </si>
  <si>
    <t>Total in poverty</t>
  </si>
  <si>
    <t>Poverty rate</t>
  </si>
  <si>
    <t>Percent of Boston's impoverished</t>
  </si>
  <si>
    <t>Table Name: Poverty Status in the Past 12 Months by Age</t>
  </si>
  <si>
    <t>Table ID:  B17020</t>
  </si>
  <si>
    <t>Universe: Population for whom poverty status is determined</t>
  </si>
  <si>
    <t>Poverty Rates by Age</t>
  </si>
  <si>
    <t>Total Population for whom poverty status is determined</t>
  </si>
  <si>
    <t>0 to 4 years</t>
  </si>
  <si>
    <t>5 to 17 years</t>
  </si>
  <si>
    <t>18 to 24 years</t>
  </si>
  <si>
    <t>25 to 34 years</t>
  </si>
  <si>
    <t>35 to 64 years</t>
  </si>
  <si>
    <t>65 years and over</t>
  </si>
  <si>
    <t>Total Poverty</t>
  </si>
  <si>
    <t>Poverty Rate</t>
  </si>
  <si>
    <t>check total</t>
  </si>
  <si>
    <t>-</t>
  </si>
  <si>
    <t>Table ID:  B17001</t>
  </si>
  <si>
    <t>neighborhood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</si>
</sst>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_(* #,##0.0_);_(* \(#,##0.0\);_(* &quot;-&quot;?_);_(@_)"/>
    <numFmt numFmtId="168" formatCode="0.00000000000000%"/>
    <numFmt numFmtId="169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DEBF7"/>
        <bgColor rgb="FF000000"/>
      </patternFill>
    </fill>
    <fill>
      <patternFill patternType="solid">
        <fgColor rgb="FFDDEBF7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5" fillId="0" borderId="0"/>
  </cellStyleXfs>
  <cellXfs count="145">
    <xf numFmtId="0" fontId="0" fillId="0" borderId="0" xfId="0"/>
    <xf numFmtId="164" fontId="0" fillId="0" borderId="0" xfId="1" applyNumberFormat="1" applyFont="1"/>
    <xf numFmtId="0" fontId="3" fillId="0" borderId="0" xfId="0" applyFont="1" applyFill="1" applyBorder="1"/>
    <xf numFmtId="164" fontId="4" fillId="3" borderId="1" xfId="0" applyNumberFormat="1" applyFont="1" applyFill="1" applyBorder="1" applyAlignment="1">
      <alignment horizontal="center" vertical="center" wrapText="1"/>
    </xf>
    <xf numFmtId="165" fontId="3" fillId="0" borderId="1" xfId="3" applyNumberFormat="1" applyFont="1" applyFill="1" applyBorder="1"/>
    <xf numFmtId="165" fontId="3" fillId="0" borderId="1" xfId="0" applyNumberFormat="1" applyFont="1" applyFill="1" applyBorder="1"/>
    <xf numFmtId="3" fontId="3" fillId="0" borderId="1" xfId="0" applyNumberFormat="1" applyFont="1" applyFill="1" applyBorder="1"/>
    <xf numFmtId="0" fontId="3" fillId="0" borderId="1" xfId="0" applyFont="1" applyFill="1" applyBorder="1" applyAlignment="1">
      <alignment horizontal="left" indent="2"/>
    </xf>
    <xf numFmtId="0" fontId="3" fillId="0" borderId="0" xfId="0" applyFont="1" applyFill="1" applyBorder="1" applyAlignment="1">
      <alignment horizontal="left" vertical="top"/>
    </xf>
    <xf numFmtId="3" fontId="3" fillId="0" borderId="0" xfId="0" applyNumberFormat="1" applyFont="1" applyFill="1" applyBorder="1" applyAlignment="1"/>
    <xf numFmtId="10" fontId="0" fillId="0" borderId="0" xfId="3" applyNumberFormat="1" applyFont="1"/>
    <xf numFmtId="0" fontId="6" fillId="0" borderId="0" xfId="0" applyFont="1"/>
    <xf numFmtId="3" fontId="2" fillId="2" borderId="8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/>
    </xf>
    <xf numFmtId="3" fontId="2" fillId="2" borderId="1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 wrapText="1"/>
    </xf>
    <xf numFmtId="3" fontId="0" fillId="0" borderId="1" xfId="0" applyNumberFormat="1" applyBorder="1"/>
    <xf numFmtId="165" fontId="0" fillId="0" borderId="1" xfId="3" applyNumberFormat="1" applyFont="1" applyBorder="1" applyAlignment="1"/>
    <xf numFmtId="165" fontId="0" fillId="0" borderId="1" xfId="3" applyNumberFormat="1" applyFont="1" applyBorder="1"/>
    <xf numFmtId="0" fontId="0" fillId="0" borderId="1" xfId="0" applyBorder="1" applyAlignment="1">
      <alignment horizontal="left" indent="2"/>
    </xf>
    <xf numFmtId="0" fontId="0" fillId="0" borderId="0" xfId="0" applyBorder="1"/>
    <xf numFmtId="0" fontId="0" fillId="0" borderId="0" xfId="0" applyFill="1" applyBorder="1" applyAlignment="1">
      <alignment horizontal="left" vertical="top"/>
    </xf>
    <xf numFmtId="3" fontId="0" fillId="0" borderId="0" xfId="0" applyNumberFormat="1" applyAlignment="1"/>
    <xf numFmtId="3" fontId="0" fillId="0" borderId="1" xfId="0" applyNumberFormat="1" applyBorder="1" applyAlignment="1">
      <alignment horizontal="right"/>
    </xf>
    <xf numFmtId="3" fontId="0" fillId="0" borderId="0" xfId="0" applyNumberFormat="1"/>
    <xf numFmtId="0" fontId="0" fillId="0" borderId="1" xfId="0" applyBorder="1"/>
    <xf numFmtId="165" fontId="0" fillId="0" borderId="0" xfId="0" applyNumberFormat="1"/>
    <xf numFmtId="165" fontId="0" fillId="0" borderId="1" xfId="0" applyNumberFormat="1" applyBorder="1" applyAlignment="1">
      <alignment horizontal="right"/>
    </xf>
    <xf numFmtId="3" fontId="0" fillId="0" borderId="1" xfId="1" applyNumberFormat="1" applyFont="1" applyBorder="1" applyAlignment="1">
      <alignment horizontal="right"/>
    </xf>
    <xf numFmtId="165" fontId="0" fillId="0" borderId="1" xfId="3" applyNumberFormat="1" applyFont="1" applyBorder="1" applyAlignment="1">
      <alignment horizontal="right"/>
    </xf>
    <xf numFmtId="164" fontId="0" fillId="0" borderId="1" xfId="1" applyNumberFormat="1" applyFont="1" applyBorder="1" applyAlignment="1">
      <alignment horizontal="right"/>
    </xf>
    <xf numFmtId="0" fontId="0" fillId="0" borderId="0" xfId="0" applyBorder="1" applyAlignment="1">
      <alignment horizontal="left" indent="2"/>
    </xf>
    <xf numFmtId="3" fontId="0" fillId="0" borderId="0" xfId="0" applyNumberFormat="1" applyBorder="1" applyAlignment="1">
      <alignment horizontal="left" indent="2"/>
    </xf>
    <xf numFmtId="0" fontId="2" fillId="2" borderId="1" xfId="4" applyFont="1" applyBorder="1"/>
    <xf numFmtId="0" fontId="0" fillId="0" borderId="1" xfId="1" applyNumberFormat="1" applyFont="1" applyBorder="1" applyAlignment="1">
      <alignment horizontal="right"/>
    </xf>
    <xf numFmtId="165" fontId="0" fillId="0" borderId="0" xfId="3" applyNumberFormat="1" applyFont="1" applyBorder="1"/>
    <xf numFmtId="0" fontId="0" fillId="0" borderId="0" xfId="0" applyNumberFormat="1"/>
    <xf numFmtId="3" fontId="4" fillId="4" borderId="1" xfId="4" applyNumberFormat="1" applyFont="1" applyFill="1" applyBorder="1" applyAlignment="1">
      <alignment horizontal="center" vertical="center" wrapText="1"/>
    </xf>
    <xf numFmtId="0" fontId="7" fillId="0" borderId="0" xfId="0" applyFont="1"/>
    <xf numFmtId="0" fontId="2" fillId="2" borderId="11" xfId="4" applyFont="1" applyBorder="1"/>
    <xf numFmtId="0" fontId="2" fillId="2" borderId="12" xfId="4" applyNumberFormat="1" applyFont="1" applyBorder="1" applyAlignment="1">
      <alignment horizontal="center" vertical="center" wrapText="1"/>
    </xf>
    <xf numFmtId="37" fontId="0" fillId="0" borderId="1" xfId="1" applyNumberFormat="1" applyFont="1" applyBorder="1"/>
    <xf numFmtId="37" fontId="0" fillId="0" borderId="6" xfId="1" applyNumberFormat="1" applyFont="1" applyBorder="1"/>
    <xf numFmtId="166" fontId="0" fillId="0" borderId="1" xfId="2" applyNumberFormat="1" applyFont="1" applyBorder="1"/>
    <xf numFmtId="3" fontId="0" fillId="0" borderId="0" xfId="0" applyNumberFormat="1" applyBorder="1"/>
    <xf numFmtId="165" fontId="2" fillId="2" borderId="1" xfId="4" applyNumberFormat="1" applyFont="1" applyBorder="1" applyAlignment="1">
      <alignment horizontal="center" vertical="center"/>
    </xf>
    <xf numFmtId="166" fontId="0" fillId="0" borderId="0" xfId="2" applyNumberFormat="1" applyFont="1"/>
    <xf numFmtId="3" fontId="0" fillId="0" borderId="0" xfId="0" applyNumberFormat="1" applyFill="1" applyAlignment="1"/>
    <xf numFmtId="5" fontId="0" fillId="0" borderId="1" xfId="2" applyNumberFormat="1" applyFont="1" applyBorder="1"/>
    <xf numFmtId="3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2" fillId="2" borderId="3" xfId="4" applyFont="1" applyBorder="1" applyAlignment="1">
      <alignment horizontal="center" vertical="center"/>
    </xf>
    <xf numFmtId="167" fontId="0" fillId="0" borderId="1" xfId="3" applyNumberFormat="1" applyFont="1" applyBorder="1"/>
    <xf numFmtId="165" fontId="3" fillId="0" borderId="13" xfId="3" applyNumberFormat="1" applyFont="1" applyFill="1" applyBorder="1"/>
    <xf numFmtId="164" fontId="0" fillId="0" borderId="1" xfId="1" applyNumberFormat="1" applyFont="1" applyBorder="1"/>
    <xf numFmtId="0" fontId="0" fillId="0" borderId="0" xfId="0" applyFill="1" applyBorder="1"/>
    <xf numFmtId="165" fontId="0" fillId="0" borderId="0" xfId="3" applyNumberFormat="1" applyFont="1" applyFill="1" applyBorder="1"/>
    <xf numFmtId="168" fontId="0" fillId="0" borderId="0" xfId="0" applyNumberFormat="1"/>
    <xf numFmtId="3" fontId="4" fillId="0" borderId="0" xfId="4" applyNumberFormat="1" applyFont="1" applyFill="1" applyBorder="1" applyAlignment="1">
      <alignment horizontal="center" vertical="center" wrapText="1"/>
    </xf>
    <xf numFmtId="0" fontId="4" fillId="0" borderId="0" xfId="4" applyNumberFormat="1" applyFont="1" applyFill="1" applyBorder="1" applyAlignment="1">
      <alignment horizontal="center" vertical="center" wrapText="1"/>
    </xf>
    <xf numFmtId="37" fontId="0" fillId="0" borderId="0" xfId="0" applyNumberFormat="1" applyFill="1" applyBorder="1"/>
    <xf numFmtId="0" fontId="8" fillId="6" borderId="0" xfId="0" applyFont="1" applyFill="1" applyBorder="1" applyAlignment="1">
      <alignment readingOrder="1"/>
    </xf>
    <xf numFmtId="0" fontId="9" fillId="0" borderId="0" xfId="0" applyFont="1" applyBorder="1" applyAlignment="1">
      <alignment readingOrder="1"/>
    </xf>
    <xf numFmtId="0" fontId="10" fillId="0" borderId="0" xfId="0" applyFont="1" applyBorder="1" applyAlignment="1">
      <alignment readingOrder="1"/>
    </xf>
    <xf numFmtId="0" fontId="9" fillId="7" borderId="0" xfId="0" applyFont="1" applyFill="1" applyBorder="1" applyAlignment="1">
      <alignment readingOrder="1"/>
    </xf>
    <xf numFmtId="0" fontId="10" fillId="7" borderId="0" xfId="0" applyFont="1" applyFill="1" applyBorder="1" applyAlignment="1">
      <alignment readingOrder="1"/>
    </xf>
    <xf numFmtId="0" fontId="9" fillId="8" borderId="0" xfId="0" applyFont="1" applyFill="1" applyBorder="1" applyAlignment="1">
      <alignment readingOrder="1"/>
    </xf>
    <xf numFmtId="3" fontId="2" fillId="0" borderId="14" xfId="0" applyNumberFormat="1" applyFont="1" applyBorder="1"/>
    <xf numFmtId="165" fontId="2" fillId="0" borderId="14" xfId="0" applyNumberFormat="1" applyFont="1" applyBorder="1" applyAlignment="1">
      <alignment horizontal="center"/>
    </xf>
    <xf numFmtId="0" fontId="0" fillId="0" borderId="14" xfId="0" applyFont="1" applyBorder="1" applyAlignment="1">
      <alignment horizontal="left" indent="2"/>
    </xf>
    <xf numFmtId="165" fontId="0" fillId="0" borderId="14" xfId="0" applyNumberFormat="1" applyBorder="1" applyAlignment="1">
      <alignment horizontal="center"/>
    </xf>
    <xf numFmtId="0" fontId="0" fillId="9" borderId="14" xfId="0" applyFill="1" applyBorder="1"/>
    <xf numFmtId="0" fontId="2" fillId="9" borderId="14" xfId="0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wrapText="1"/>
    </xf>
    <xf numFmtId="3" fontId="0" fillId="0" borderId="6" xfId="0" applyNumberFormat="1" applyBorder="1"/>
    <xf numFmtId="0" fontId="0" fillId="0" borderId="6" xfId="0" applyBorder="1" applyAlignment="1">
      <alignment horizontal="left" indent="2"/>
    </xf>
    <xf numFmtId="165" fontId="0" fillId="0" borderId="14" xfId="3" applyNumberFormat="1" applyFont="1" applyBorder="1"/>
    <xf numFmtId="165" fontId="0" fillId="0" borderId="14" xfId="0" applyNumberFormat="1" applyBorder="1"/>
    <xf numFmtId="3" fontId="3" fillId="0" borderId="1" xfId="3" applyNumberFormat="1" applyFont="1" applyFill="1" applyBorder="1"/>
    <xf numFmtId="0" fontId="12" fillId="0" borderId="0" xfId="0" applyFont="1" applyAlignment="1">
      <alignment wrapText="1"/>
    </xf>
    <xf numFmtId="3" fontId="0" fillId="0" borderId="1" xfId="3" applyNumberFormat="1" applyFont="1" applyBorder="1"/>
    <xf numFmtId="37" fontId="0" fillId="0" borderId="14" xfId="0" applyNumberFormat="1" applyBorder="1"/>
    <xf numFmtId="3" fontId="4" fillId="4" borderId="5" xfId="4" applyNumberFormat="1" applyFont="1" applyFill="1" applyBorder="1" applyAlignment="1">
      <alignment horizontal="center" vertical="center" wrapText="1"/>
    </xf>
    <xf numFmtId="0" fontId="4" fillId="4" borderId="5" xfId="4" applyNumberFormat="1" applyFont="1" applyFill="1" applyBorder="1" applyAlignment="1">
      <alignment horizontal="center" vertical="center" wrapText="1"/>
    </xf>
    <xf numFmtId="3" fontId="0" fillId="0" borderId="14" xfId="0" applyNumberFormat="1" applyBorder="1"/>
    <xf numFmtId="3" fontId="0" fillId="0" borderId="14" xfId="3" applyNumberFormat="1" applyFont="1" applyBorder="1"/>
    <xf numFmtId="165" fontId="0" fillId="0" borderId="14" xfId="3" applyNumberFormat="1" applyFont="1" applyBorder="1" applyAlignment="1">
      <alignment wrapText="1"/>
    </xf>
    <xf numFmtId="0" fontId="2" fillId="2" borderId="1" xfId="4" applyFont="1" applyBorder="1" applyAlignment="1">
      <alignment horizontal="center" vertical="center"/>
    </xf>
    <xf numFmtId="3" fontId="11" fillId="0" borderId="0" xfId="0" applyNumberFormat="1" applyFont="1" applyFill="1" applyBorder="1" applyAlignment="1">
      <alignment wrapText="1"/>
    </xf>
    <xf numFmtId="165" fontId="0" fillId="0" borderId="1" xfId="0" applyNumberFormat="1" applyBorder="1"/>
    <xf numFmtId="3" fontId="0" fillId="0" borderId="5" xfId="0" applyNumberFormat="1" applyBorder="1"/>
    <xf numFmtId="164" fontId="11" fillId="0" borderId="14" xfId="0" applyNumberFormat="1" applyFont="1" applyFill="1" applyBorder="1" applyAlignment="1">
      <alignment wrapText="1"/>
    </xf>
    <xf numFmtId="164" fontId="11" fillId="0" borderId="15" xfId="0" applyNumberFormat="1" applyFont="1" applyFill="1" applyBorder="1" applyAlignment="1">
      <alignment wrapText="1"/>
    </xf>
    <xf numFmtId="165" fontId="0" fillId="0" borderId="8" xfId="3" applyNumberFormat="1" applyFont="1" applyBorder="1"/>
    <xf numFmtId="165" fontId="0" fillId="0" borderId="7" xfId="3" applyNumberFormat="1" applyFont="1" applyBorder="1"/>
    <xf numFmtId="164" fontId="0" fillId="0" borderId="14" xfId="0" applyNumberFormat="1" applyBorder="1"/>
    <xf numFmtId="164" fontId="0" fillId="0" borderId="0" xfId="0" applyNumberFormat="1"/>
    <xf numFmtId="164" fontId="11" fillId="0" borderId="0" xfId="0" applyNumberFormat="1" applyFont="1" applyFill="1" applyBorder="1" applyAlignment="1">
      <alignment wrapText="1"/>
    </xf>
    <xf numFmtId="3" fontId="0" fillId="0" borderId="3" xfId="0" applyNumberFormat="1" applyBorder="1"/>
    <xf numFmtId="165" fontId="0" fillId="0" borderId="6" xfId="3" applyNumberFormat="1" applyFont="1" applyBorder="1"/>
    <xf numFmtId="166" fontId="0" fillId="0" borderId="16" xfId="2" applyNumberFormat="1" applyFont="1" applyBorder="1"/>
    <xf numFmtId="166" fontId="0" fillId="0" borderId="0" xfId="0" applyNumberFormat="1"/>
    <xf numFmtId="3" fontId="0" fillId="0" borderId="10" xfId="0" applyNumberFormat="1" applyBorder="1"/>
    <xf numFmtId="0" fontId="0" fillId="0" borderId="14" xfId="0" applyBorder="1" applyAlignment="1">
      <alignment horizontal="left" indent="2"/>
    </xf>
    <xf numFmtId="3" fontId="2" fillId="2" borderId="14" xfId="4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164" fontId="11" fillId="0" borderId="17" xfId="0" applyNumberFormat="1" applyFont="1" applyFill="1" applyBorder="1" applyAlignment="1">
      <alignment wrapText="1"/>
    </xf>
    <xf numFmtId="166" fontId="0" fillId="0" borderId="1" xfId="2" applyNumberFormat="1" applyFont="1" applyFill="1" applyBorder="1"/>
    <xf numFmtId="166" fontId="0" fillId="0" borderId="5" xfId="2" applyNumberFormat="1" applyFont="1" applyFill="1" applyBorder="1"/>
    <xf numFmtId="169" fontId="3" fillId="0" borderId="1" xfId="0" applyNumberFormat="1" applyFont="1" applyFill="1" applyBorder="1" applyAlignment="1">
      <alignment horizontal="right"/>
    </xf>
    <xf numFmtId="169" fontId="3" fillId="0" borderId="1" xfId="0" applyNumberFormat="1" applyFont="1" applyFill="1" applyBorder="1"/>
    <xf numFmtId="0" fontId="2" fillId="2" borderId="10" xfId="4" applyFont="1" applyBorder="1" applyAlignment="1">
      <alignment horizontal="center" vertical="center"/>
    </xf>
    <xf numFmtId="3" fontId="0" fillId="0" borderId="0" xfId="0" applyNumberFormat="1" applyFont="1" applyFill="1" applyAlignment="1"/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NumberFormat="1" applyFont="1" applyFill="1" applyBorder="1" applyAlignment="1">
      <alignment horizontal="center" vertical="center" wrapText="1"/>
    </xf>
    <xf numFmtId="0" fontId="0" fillId="0" borderId="14" xfId="0" applyBorder="1"/>
    <xf numFmtId="164" fontId="2" fillId="2" borderId="5" xfId="4" applyNumberFormat="1" applyFont="1" applyBorder="1" applyAlignment="1">
      <alignment horizontal="center" vertical="center"/>
    </xf>
    <xf numFmtId="0" fontId="2" fillId="2" borderId="5" xfId="4" applyNumberFormat="1" applyFont="1" applyBorder="1" applyAlignment="1">
      <alignment horizontal="center" vertical="center"/>
    </xf>
    <xf numFmtId="3" fontId="2" fillId="2" borderId="5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5" xfId="4" applyNumberFormat="1" applyFont="1" applyBorder="1" applyAlignment="1">
      <alignment horizontal="center" vertical="center" wrapText="1"/>
    </xf>
    <xf numFmtId="165" fontId="0" fillId="0" borderId="15" xfId="3" applyNumberFormat="1" applyFont="1" applyBorder="1"/>
    <xf numFmtId="165" fontId="0" fillId="0" borderId="15" xfId="0" applyNumberFormat="1" applyBorder="1"/>
    <xf numFmtId="3" fontId="11" fillId="0" borderId="18" xfId="0" applyNumberFormat="1" applyFont="1" applyFill="1" applyBorder="1" applyAlignment="1">
      <alignment wrapText="1"/>
    </xf>
    <xf numFmtId="37" fontId="0" fillId="0" borderId="14" xfId="1" applyNumberFormat="1" applyFont="1" applyBorder="1"/>
    <xf numFmtId="0" fontId="2" fillId="2" borderId="5" xfId="4" applyFont="1" applyBorder="1" applyAlignment="1">
      <alignment horizontal="center"/>
    </xf>
    <xf numFmtId="3" fontId="2" fillId="2" borderId="5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10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 vertical="center" wrapText="1"/>
    </xf>
    <xf numFmtId="0" fontId="2" fillId="2" borderId="9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/>
    </xf>
    <xf numFmtId="0" fontId="2" fillId="2" borderId="9" xfId="4" applyFont="1" applyBorder="1" applyAlignment="1">
      <alignment horizontal="center"/>
    </xf>
    <xf numFmtId="0" fontId="2" fillId="2" borderId="1" xfId="4" applyFont="1" applyBorder="1" applyAlignment="1">
      <alignment horizontal="center"/>
    </xf>
    <xf numFmtId="0" fontId="2" fillId="2" borderId="5" xfId="4" applyNumberFormat="1" applyFont="1" applyBorder="1" applyAlignment="1">
      <alignment horizontal="center" vertical="center" wrapText="1"/>
    </xf>
    <xf numFmtId="0" fontId="2" fillId="2" borderId="10" xfId="4" applyNumberFormat="1" applyFont="1" applyBorder="1" applyAlignment="1">
      <alignment horizontal="center" vertical="center" wrapText="1"/>
    </xf>
    <xf numFmtId="0" fontId="2" fillId="2" borderId="6" xfId="4" applyFont="1" applyBorder="1" applyAlignment="1">
      <alignment horizontal="center" vertical="center"/>
    </xf>
    <xf numFmtId="0" fontId="2" fillId="2" borderId="8" xfId="4" applyFont="1" applyBorder="1" applyAlignment="1">
      <alignment horizontal="center" vertical="center"/>
    </xf>
    <xf numFmtId="0" fontId="2" fillId="2" borderId="7" xfId="4" applyFont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5" borderId="10" xfId="0" applyFill="1" applyBorder="1" applyAlignment="1">
      <alignment horizontal="center"/>
    </xf>
  </cellXfs>
  <cellStyles count="6">
    <cellStyle name="20% - Accent1" xfId="4" builtinId="30"/>
    <cellStyle name="Comma" xfId="1" builtinId="3"/>
    <cellStyle name="Currency" xfId="2" builtinId="4"/>
    <cellStyle name="Normal" xfId="0" builtinId="0"/>
    <cellStyle name="Normal 2" xfId="5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Q34"/>
  <sheetViews>
    <sheetView workbookViewId="0">
      <pane xSplit="1" topLeftCell="B1" activePane="topRight" state="frozen"/>
      <selection activeCell="A4" sqref="A4"/>
      <selection pane="topRight" activeCell="Q11" sqref="Q11"/>
    </sheetView>
  </sheetViews>
  <sheetFormatPr baseColWidth="10" defaultColWidth="9.1640625" defaultRowHeight="15" x14ac:dyDescent="0.2"/>
  <cols>
    <col min="1" max="1" width="26.6640625" style="1" customWidth="1"/>
    <col min="2" max="2" width="12.5" style="1" bestFit="1" customWidth="1"/>
    <col min="3" max="3" width="10.83203125" style="1" bestFit="1" customWidth="1"/>
    <col min="4" max="4" width="10.6640625" style="1" customWidth="1"/>
    <col min="5" max="5" width="10.5" style="1" bestFit="1" customWidth="1"/>
    <col min="6" max="6" width="10.83203125" style="1" bestFit="1" customWidth="1"/>
    <col min="7" max="7" width="13.6640625" style="1" bestFit="1" customWidth="1"/>
    <col min="8" max="8" width="12.1640625" style="1" bestFit="1" customWidth="1"/>
    <col min="9" max="11" width="10.83203125" style="1" bestFit="1" customWidth="1"/>
    <col min="12" max="12" width="11.5" style="1" customWidth="1"/>
    <col min="13" max="13" width="11.5" style="1" bestFit="1" customWidth="1"/>
    <col min="14" max="14" width="12.5" style="1" bestFit="1" customWidth="1"/>
    <col min="15" max="15" width="10.83203125" style="1" bestFit="1" customWidth="1"/>
    <col min="16" max="16" width="14.83203125" style="1" customWidth="1"/>
    <col min="17" max="19" width="10.83203125" style="1" bestFit="1" customWidth="1"/>
    <col min="20" max="20" width="10.5" style="1" bestFit="1" customWidth="1"/>
    <col min="21" max="21" width="10.83203125" style="1" bestFit="1" customWidth="1"/>
    <col min="22" max="23" width="11.5" style="1" bestFit="1" customWidth="1"/>
    <col min="24" max="26" width="10.5" style="1" bestFit="1" customWidth="1"/>
    <col min="27" max="27" width="9.1640625" style="1"/>
    <col min="28" max="30" width="10.5" style="1" bestFit="1" customWidth="1"/>
    <col min="31" max="31" width="9.1640625" style="1"/>
    <col min="32" max="34" width="10.5" style="1" bestFit="1" customWidth="1"/>
    <col min="35" max="35" width="9.1640625" style="1"/>
    <col min="36" max="38" width="9.5" style="1" bestFit="1" customWidth="1"/>
    <col min="39" max="39" width="9.1640625" style="1"/>
    <col min="40" max="42" width="10.5" style="1" bestFit="1" customWidth="1"/>
    <col min="43" max="43" width="9.1640625" style="1"/>
    <col min="44" max="46" width="11.5" style="1" bestFit="1" customWidth="1"/>
    <col min="47" max="16384" width="9.1640625" style="1"/>
  </cols>
  <sheetData>
    <row r="1" spans="1:17" ht="32" x14ac:dyDescent="0.2">
      <c r="A1" s="3" t="s">
        <v>275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3</v>
      </c>
      <c r="H1" s="3" t="s">
        <v>5</v>
      </c>
      <c r="I1" s="3" t="s">
        <v>3</v>
      </c>
      <c r="J1" s="3" t="s">
        <v>6</v>
      </c>
      <c r="K1" s="3" t="s">
        <v>3</v>
      </c>
      <c r="L1" s="3" t="s">
        <v>7</v>
      </c>
      <c r="M1" s="3" t="s">
        <v>3</v>
      </c>
      <c r="N1" s="3" t="s">
        <v>8</v>
      </c>
      <c r="O1" s="3" t="s">
        <v>3</v>
      </c>
    </row>
    <row r="2" spans="1:17" x14ac:dyDescent="0.2">
      <c r="A2" s="7" t="s">
        <v>12</v>
      </c>
      <c r="B2" s="6">
        <v>19261</v>
      </c>
      <c r="C2" s="110">
        <v>27.5</v>
      </c>
      <c r="D2" s="6">
        <v>409</v>
      </c>
      <c r="E2" s="4">
        <v>2.123461917865116E-2</v>
      </c>
      <c r="F2" s="6">
        <v>331</v>
      </c>
      <c r="G2" s="4">
        <v>1.7184985203260474E-2</v>
      </c>
      <c r="H2" s="79">
        <v>2359</v>
      </c>
      <c r="I2" s="4">
        <v>0.1224754685634183</v>
      </c>
      <c r="J2" s="6">
        <v>13046</v>
      </c>
      <c r="K2" s="4">
        <v>0.67732724157624213</v>
      </c>
      <c r="L2" s="6">
        <v>2307</v>
      </c>
      <c r="M2" s="4">
        <v>0.11977571257982451</v>
      </c>
      <c r="N2" s="6">
        <v>809</v>
      </c>
      <c r="O2" s="5">
        <v>4.2001972898603399E-2</v>
      </c>
    </row>
    <row r="3" spans="1:17" x14ac:dyDescent="0.2">
      <c r="A3" s="7" t="s">
        <v>13</v>
      </c>
      <c r="B3" s="6">
        <v>17783</v>
      </c>
      <c r="C3" s="111">
        <v>33.6</v>
      </c>
      <c r="D3" s="6">
        <v>655</v>
      </c>
      <c r="E3" s="4">
        <v>3.6832930326716529E-2</v>
      </c>
      <c r="F3" s="6">
        <v>514</v>
      </c>
      <c r="G3" s="4">
        <v>2.8904009447224877E-2</v>
      </c>
      <c r="H3" s="79">
        <v>980</v>
      </c>
      <c r="I3" s="4">
        <v>5.5108811786537704E-2</v>
      </c>
      <c r="J3" s="6">
        <v>7418</v>
      </c>
      <c r="K3" s="4">
        <v>0.41713996513524154</v>
      </c>
      <c r="L3" s="6">
        <v>4893</v>
      </c>
      <c r="M3" s="4">
        <v>0.27515042456278466</v>
      </c>
      <c r="N3" s="6">
        <v>3323</v>
      </c>
      <c r="O3" s="5">
        <v>0.18686385874149469</v>
      </c>
    </row>
    <row r="4" spans="1:17" x14ac:dyDescent="0.2">
      <c r="A4" s="7" t="s">
        <v>14</v>
      </c>
      <c r="B4" s="6">
        <v>9648</v>
      </c>
      <c r="C4" s="111">
        <v>33</v>
      </c>
      <c r="D4" s="6">
        <v>615</v>
      </c>
      <c r="E4" s="4">
        <v>6.3743781094527358E-2</v>
      </c>
      <c r="F4" s="6">
        <v>247</v>
      </c>
      <c r="G4" s="4">
        <v>2.5601160862354894E-2</v>
      </c>
      <c r="H4" s="79">
        <v>40</v>
      </c>
      <c r="I4" s="4">
        <v>4.1459369817578775E-3</v>
      </c>
      <c r="J4" s="6">
        <v>4524</v>
      </c>
      <c r="K4" s="4">
        <v>0.46890547263681592</v>
      </c>
      <c r="L4" s="6">
        <v>2540</v>
      </c>
      <c r="M4" s="4">
        <v>0.2632669983416252</v>
      </c>
      <c r="N4" s="6">
        <v>1682</v>
      </c>
      <c r="O4" s="5">
        <v>0.17433665008291874</v>
      </c>
      <c r="Q4" s="10"/>
    </row>
    <row r="5" spans="1:17" x14ac:dyDescent="0.2">
      <c r="A5" s="7" t="s">
        <v>15</v>
      </c>
      <c r="B5" s="6">
        <v>55297</v>
      </c>
      <c r="C5" s="111">
        <v>30.8</v>
      </c>
      <c r="D5" s="6">
        <v>3170</v>
      </c>
      <c r="E5" s="4">
        <v>5.7326798922183841E-2</v>
      </c>
      <c r="F5" s="6">
        <v>2105</v>
      </c>
      <c r="G5" s="4">
        <v>3.8067164583973814E-2</v>
      </c>
      <c r="H5" s="79">
        <v>1450</v>
      </c>
      <c r="I5" s="4">
        <v>2.6222037361882201E-2</v>
      </c>
      <c r="J5" s="6">
        <v>29181</v>
      </c>
      <c r="K5" s="4">
        <v>0.52771398086695476</v>
      </c>
      <c r="L5" s="6">
        <v>11485</v>
      </c>
      <c r="M5" s="4">
        <v>0.20769662006980488</v>
      </c>
      <c r="N5" s="6">
        <v>7906</v>
      </c>
      <c r="O5" s="5">
        <v>0.14297339819520047</v>
      </c>
      <c r="Q5" s="10"/>
    </row>
    <row r="6" spans="1:17" x14ac:dyDescent="0.2">
      <c r="A6" s="7" t="s">
        <v>16</v>
      </c>
      <c r="B6" s="6">
        <v>19890</v>
      </c>
      <c r="C6" s="111">
        <v>35.700000000000003</v>
      </c>
      <c r="D6" s="6">
        <v>2978</v>
      </c>
      <c r="E6" s="4">
        <v>0.14972347913524384</v>
      </c>
      <c r="F6" s="6">
        <v>996</v>
      </c>
      <c r="G6" s="4">
        <v>5.0075414781297137E-2</v>
      </c>
      <c r="H6" s="79">
        <v>186</v>
      </c>
      <c r="I6" s="4">
        <v>9.3514328808446453E-3</v>
      </c>
      <c r="J6" s="6">
        <v>5603</v>
      </c>
      <c r="K6" s="4">
        <v>0.28169934640522876</v>
      </c>
      <c r="L6" s="6">
        <v>6824</v>
      </c>
      <c r="M6" s="4">
        <v>0.34308697838109603</v>
      </c>
      <c r="N6" s="6">
        <v>3303</v>
      </c>
      <c r="O6" s="5">
        <v>0.16606334841628959</v>
      </c>
      <c r="Q6" s="10"/>
    </row>
    <row r="7" spans="1:17" x14ac:dyDescent="0.2">
      <c r="A7" s="7" t="s">
        <v>17</v>
      </c>
      <c r="B7" s="6">
        <v>126909</v>
      </c>
      <c r="C7" s="111">
        <v>33.4</v>
      </c>
      <c r="D7" s="6">
        <v>15104</v>
      </c>
      <c r="E7" s="4">
        <v>0.11901441190144119</v>
      </c>
      <c r="F7" s="6">
        <v>13018</v>
      </c>
      <c r="G7" s="4">
        <v>0.1025774373763878</v>
      </c>
      <c r="H7" s="79">
        <v>3478</v>
      </c>
      <c r="I7" s="4">
        <v>2.740546375749553E-2</v>
      </c>
      <c r="J7" s="6">
        <v>35771</v>
      </c>
      <c r="K7" s="4">
        <v>0.28186338242362635</v>
      </c>
      <c r="L7" s="6">
        <v>38890</v>
      </c>
      <c r="M7" s="4">
        <v>0.30644004759315729</v>
      </c>
      <c r="N7" s="6">
        <v>20648</v>
      </c>
      <c r="O7" s="5">
        <v>0.16269925694789181</v>
      </c>
      <c r="Q7" s="10"/>
    </row>
    <row r="8" spans="1:17" hidden="1" x14ac:dyDescent="0.2">
      <c r="A8" s="7" t="s">
        <v>18</v>
      </c>
      <c r="B8" s="6">
        <v>18306</v>
      </c>
      <c r="C8" s="111">
        <v>33.5</v>
      </c>
      <c r="D8" s="6">
        <v>1122</v>
      </c>
      <c r="E8" s="4">
        <v>6.129137987545067E-2</v>
      </c>
      <c r="F8" s="6">
        <v>385</v>
      </c>
      <c r="G8" s="4">
        <v>2.1031355839615427E-2</v>
      </c>
      <c r="H8" s="79">
        <v>2307</v>
      </c>
      <c r="I8" s="4">
        <v>0.12602425434283843</v>
      </c>
      <c r="J8" s="6">
        <v>5942</v>
      </c>
      <c r="K8" s="4">
        <v>0.32459302960777886</v>
      </c>
      <c r="L8" s="6">
        <v>4923</v>
      </c>
      <c r="M8" s="4">
        <v>0.26892822025565388</v>
      </c>
      <c r="N8" s="6">
        <v>3627</v>
      </c>
      <c r="O8" s="5">
        <v>0.19813176007866273</v>
      </c>
      <c r="Q8" s="10"/>
    </row>
    <row r="9" spans="1:17" hidden="1" x14ac:dyDescent="0.2">
      <c r="A9" s="7" t="s">
        <v>19</v>
      </c>
      <c r="B9" s="6">
        <v>47263</v>
      </c>
      <c r="C9" s="111">
        <v>30.6</v>
      </c>
      <c r="D9" s="6">
        <v>5319</v>
      </c>
      <c r="E9" s="4">
        <v>0.11254046505723293</v>
      </c>
      <c r="F9" s="6">
        <v>3857</v>
      </c>
      <c r="G9" s="4">
        <v>8.1607176861392627E-2</v>
      </c>
      <c r="H9" s="79">
        <v>1086</v>
      </c>
      <c r="I9" s="4">
        <v>2.2977805048346487E-2</v>
      </c>
      <c r="J9" s="6">
        <v>14689</v>
      </c>
      <c r="K9" s="4">
        <v>0.31079279774876756</v>
      </c>
      <c r="L9" s="6">
        <v>16270</v>
      </c>
      <c r="M9" s="4">
        <v>0.34424391172799018</v>
      </c>
      <c r="N9" s="6">
        <v>6042</v>
      </c>
      <c r="O9" s="5">
        <v>0.12783784355627023</v>
      </c>
      <c r="Q9" s="10"/>
    </row>
    <row r="10" spans="1:17" x14ac:dyDescent="0.2">
      <c r="A10" s="7" t="s">
        <v>20</v>
      </c>
      <c r="B10" s="6">
        <v>33489</v>
      </c>
      <c r="C10" s="111">
        <v>26.3</v>
      </c>
      <c r="D10" s="6">
        <v>509</v>
      </c>
      <c r="E10" s="4">
        <v>1.5199020573919794E-2</v>
      </c>
      <c r="F10" s="6">
        <v>190</v>
      </c>
      <c r="G10" s="4">
        <v>5.6735047328973689E-3</v>
      </c>
      <c r="H10" s="79">
        <v>8496</v>
      </c>
      <c r="I10" s="4">
        <v>0.25369524321418974</v>
      </c>
      <c r="J10" s="6">
        <v>18072</v>
      </c>
      <c r="K10" s="4">
        <v>0.53963988175221711</v>
      </c>
      <c r="L10" s="6">
        <v>3981</v>
      </c>
      <c r="M10" s="4">
        <v>0.11887485442981277</v>
      </c>
      <c r="N10" s="6">
        <v>2241</v>
      </c>
      <c r="O10" s="5">
        <v>6.6917495296963184E-2</v>
      </c>
      <c r="Q10" s="10"/>
    </row>
    <row r="11" spans="1:17" x14ac:dyDescent="0.2">
      <c r="A11" s="7" t="s">
        <v>21</v>
      </c>
      <c r="B11" s="6">
        <v>38924</v>
      </c>
      <c r="C11" s="111">
        <v>39.4</v>
      </c>
      <c r="D11" s="6">
        <v>4140</v>
      </c>
      <c r="E11" s="4">
        <v>0.1063611139656767</v>
      </c>
      <c r="F11" s="6">
        <v>4148</v>
      </c>
      <c r="G11" s="4">
        <v>0.10656664268831569</v>
      </c>
      <c r="H11" s="79">
        <v>606</v>
      </c>
      <c r="I11" s="4">
        <v>1.5568800739903401E-2</v>
      </c>
      <c r="J11" s="6">
        <v>8221</v>
      </c>
      <c r="K11" s="4">
        <v>0.21120645360189086</v>
      </c>
      <c r="L11" s="6">
        <v>13392</v>
      </c>
      <c r="M11" s="4">
        <v>0.34405508169766724</v>
      </c>
      <c r="N11" s="6">
        <v>8417</v>
      </c>
      <c r="O11" s="5">
        <v>0.21624190730654608</v>
      </c>
      <c r="Q11" s="10"/>
    </row>
    <row r="12" spans="1:17" x14ac:dyDescent="0.2">
      <c r="A12" s="7" t="s">
        <v>22</v>
      </c>
      <c r="B12" s="6">
        <v>40867</v>
      </c>
      <c r="C12" s="111">
        <v>34.799999999999997</v>
      </c>
      <c r="D12" s="6">
        <v>4232</v>
      </c>
      <c r="E12" s="4">
        <v>0.1035554359262975</v>
      </c>
      <c r="F12" s="6">
        <v>2389</v>
      </c>
      <c r="G12" s="4">
        <v>5.8457924486749697E-2</v>
      </c>
      <c r="H12" s="79">
        <v>674</v>
      </c>
      <c r="I12" s="4">
        <v>1.6492524530795017E-2</v>
      </c>
      <c r="J12" s="6">
        <v>13286</v>
      </c>
      <c r="K12" s="4">
        <v>0.32510338414857953</v>
      </c>
      <c r="L12" s="6">
        <v>13387</v>
      </c>
      <c r="M12" s="4">
        <v>0.32757481586610221</v>
      </c>
      <c r="N12" s="6">
        <v>6899</v>
      </c>
      <c r="O12" s="5">
        <v>0.168815915041476</v>
      </c>
      <c r="Q12" s="10"/>
    </row>
    <row r="13" spans="1:17" x14ac:dyDescent="0.2">
      <c r="A13" s="7" t="s">
        <v>23</v>
      </c>
      <c r="B13" s="6">
        <v>5351</v>
      </c>
      <c r="C13" s="111">
        <v>20.2</v>
      </c>
      <c r="D13" s="6">
        <v>8</v>
      </c>
      <c r="E13" s="4">
        <v>1.4950476546439918E-3</v>
      </c>
      <c r="F13" s="6">
        <v>43</v>
      </c>
      <c r="G13" s="4">
        <v>8.0358811437114559E-3</v>
      </c>
      <c r="H13" s="79">
        <v>2597</v>
      </c>
      <c r="I13" s="4">
        <v>0.48532984488880582</v>
      </c>
      <c r="J13" s="6">
        <v>2575</v>
      </c>
      <c r="K13" s="4">
        <v>0.48121846383853484</v>
      </c>
      <c r="L13" s="6">
        <v>65</v>
      </c>
      <c r="M13" s="4">
        <v>1.2147262193982433E-2</v>
      </c>
      <c r="N13" s="6">
        <v>63</v>
      </c>
      <c r="O13" s="5">
        <v>1.1773500280321435E-2</v>
      </c>
      <c r="Q13" s="10"/>
    </row>
    <row r="14" spans="1:17" x14ac:dyDescent="0.2">
      <c r="A14" s="7" t="s">
        <v>24</v>
      </c>
      <c r="B14" s="6">
        <v>26659</v>
      </c>
      <c r="C14" s="111">
        <v>36.700000000000003</v>
      </c>
      <c r="D14" s="6">
        <v>3496</v>
      </c>
      <c r="E14" s="4">
        <v>0.13113770208935069</v>
      </c>
      <c r="F14" s="6">
        <v>3072</v>
      </c>
      <c r="G14" s="4">
        <v>0.11523312952473837</v>
      </c>
      <c r="H14" s="79">
        <v>575</v>
      </c>
      <c r="I14" s="4">
        <v>2.1568701001537943E-2</v>
      </c>
      <c r="J14" s="6">
        <v>5582</v>
      </c>
      <c r="K14" s="4">
        <v>0.20938519824449528</v>
      </c>
      <c r="L14" s="6">
        <v>9031</v>
      </c>
      <c r="M14" s="4">
        <v>0.33875989346937246</v>
      </c>
      <c r="N14" s="6">
        <v>4903</v>
      </c>
      <c r="O14" s="5">
        <v>0.18391537567050528</v>
      </c>
      <c r="Q14" s="10"/>
    </row>
    <row r="15" spans="1:17" x14ac:dyDescent="0.2">
      <c r="A15" s="7" t="s">
        <v>25</v>
      </c>
      <c r="B15" s="6">
        <v>17386</v>
      </c>
      <c r="C15" s="111">
        <v>30.1</v>
      </c>
      <c r="D15" s="6">
        <v>660</v>
      </c>
      <c r="E15" s="4">
        <v>3.7961578281375821E-2</v>
      </c>
      <c r="F15" s="6">
        <v>825</v>
      </c>
      <c r="G15" s="4">
        <v>4.7451972851719773E-2</v>
      </c>
      <c r="H15" s="79">
        <v>1424</v>
      </c>
      <c r="I15" s="4">
        <v>8.1904981019210857E-2</v>
      </c>
      <c r="J15" s="6">
        <v>8599</v>
      </c>
      <c r="K15" s="4">
        <v>0.49459335097204649</v>
      </c>
      <c r="L15" s="6">
        <v>3163</v>
      </c>
      <c r="M15" s="4">
        <v>0.18192798803635107</v>
      </c>
      <c r="N15" s="6">
        <v>2715</v>
      </c>
      <c r="O15" s="5">
        <v>0.15616012883929598</v>
      </c>
      <c r="Q15" s="10"/>
    </row>
    <row r="16" spans="1:17" x14ac:dyDescent="0.2">
      <c r="A16" s="7" t="s">
        <v>26</v>
      </c>
      <c r="B16" s="6">
        <v>8749</v>
      </c>
      <c r="C16" s="111">
        <v>31.1</v>
      </c>
      <c r="D16" s="6">
        <v>310</v>
      </c>
      <c r="E16" s="4">
        <v>3.543262087095668E-2</v>
      </c>
      <c r="F16" s="6">
        <v>199</v>
      </c>
      <c r="G16" s="4">
        <v>2.2745456623614126E-2</v>
      </c>
      <c r="H16" s="79">
        <v>19</v>
      </c>
      <c r="I16" s="4">
        <v>2.1716767630586354E-3</v>
      </c>
      <c r="J16" s="6">
        <v>5208</v>
      </c>
      <c r="K16" s="4">
        <v>0.59526803063207223</v>
      </c>
      <c r="L16" s="6">
        <v>1818</v>
      </c>
      <c r="M16" s="4">
        <v>0.20779517659161048</v>
      </c>
      <c r="N16" s="6">
        <v>1195</v>
      </c>
      <c r="O16" s="5">
        <v>0.13658703851868784</v>
      </c>
      <c r="Q16" s="10"/>
    </row>
    <row r="17" spans="1:17" x14ac:dyDescent="0.2">
      <c r="A17" s="7" t="s">
        <v>27</v>
      </c>
      <c r="B17" s="6">
        <v>30021</v>
      </c>
      <c r="C17" s="111">
        <v>39.799999999999997</v>
      </c>
      <c r="D17" s="6">
        <v>3412</v>
      </c>
      <c r="E17" s="4">
        <v>0.1136537756903501</v>
      </c>
      <c r="F17" s="6">
        <v>2567</v>
      </c>
      <c r="G17" s="4">
        <v>8.5506811898337837E-2</v>
      </c>
      <c r="H17" s="79">
        <v>555</v>
      </c>
      <c r="I17" s="4">
        <v>1.8487059058658939E-2</v>
      </c>
      <c r="J17" s="6">
        <v>6310</v>
      </c>
      <c r="K17" s="4">
        <v>0.21018620299123947</v>
      </c>
      <c r="L17" s="6">
        <v>11224</v>
      </c>
      <c r="M17" s="4">
        <v>0.37387162319709538</v>
      </c>
      <c r="N17" s="6">
        <v>5953</v>
      </c>
      <c r="O17" s="5">
        <v>0.19829452716431831</v>
      </c>
      <c r="Q17" s="10"/>
    </row>
    <row r="18" spans="1:17" x14ac:dyDescent="0.2">
      <c r="A18" s="7" t="s">
        <v>28</v>
      </c>
      <c r="B18" s="6">
        <v>54161</v>
      </c>
      <c r="C18" s="111">
        <v>32.5</v>
      </c>
      <c r="D18" s="6">
        <v>6557</v>
      </c>
      <c r="E18" s="4">
        <v>0.12106497295101641</v>
      </c>
      <c r="F18" s="6">
        <v>5289</v>
      </c>
      <c r="G18" s="4">
        <v>9.7653292959878873E-2</v>
      </c>
      <c r="H18" s="79">
        <v>2669</v>
      </c>
      <c r="I18" s="4">
        <v>4.9279001495541069E-2</v>
      </c>
      <c r="J18" s="6">
        <v>15059</v>
      </c>
      <c r="K18" s="4">
        <v>0.27804139509979503</v>
      </c>
      <c r="L18" s="6">
        <v>15564</v>
      </c>
      <c r="M18" s="4">
        <v>0.28736544746219606</v>
      </c>
      <c r="N18" s="6">
        <v>9023</v>
      </c>
      <c r="O18" s="5">
        <v>0.16659589003157255</v>
      </c>
      <c r="Q18" s="10"/>
    </row>
    <row r="19" spans="1:17" x14ac:dyDescent="0.2">
      <c r="A19" s="7" t="s">
        <v>29</v>
      </c>
      <c r="B19" s="6">
        <v>36772</v>
      </c>
      <c r="C19" s="111">
        <v>31.9</v>
      </c>
      <c r="D19" s="6">
        <v>3165</v>
      </c>
      <c r="E19" s="4">
        <v>8.6070923528771895E-2</v>
      </c>
      <c r="F19" s="6">
        <v>1496</v>
      </c>
      <c r="G19" s="4">
        <v>4.0683128467312084E-2</v>
      </c>
      <c r="H19" s="79">
        <v>305</v>
      </c>
      <c r="I19" s="4">
        <v>8.2943544000870228E-3</v>
      </c>
      <c r="J19" s="6">
        <v>16937</v>
      </c>
      <c r="K19" s="4">
        <v>0.46059501794843904</v>
      </c>
      <c r="L19" s="6">
        <v>10206</v>
      </c>
      <c r="M19" s="4">
        <v>0.27754813445012511</v>
      </c>
      <c r="N19" s="6">
        <v>4663</v>
      </c>
      <c r="O19" s="5">
        <v>0.12680844120526488</v>
      </c>
      <c r="Q19" s="10"/>
    </row>
    <row r="20" spans="1:17" x14ac:dyDescent="0.2">
      <c r="A20" s="7" t="s">
        <v>30</v>
      </c>
      <c r="B20" s="6">
        <v>4403</v>
      </c>
      <c r="C20" s="111">
        <v>34.5</v>
      </c>
      <c r="D20" s="6">
        <v>138</v>
      </c>
      <c r="E20" s="4">
        <v>3.1342266636384286E-2</v>
      </c>
      <c r="F20" s="6">
        <v>51</v>
      </c>
      <c r="G20" s="4">
        <v>1.1583011583011582E-2</v>
      </c>
      <c r="H20" s="79">
        <v>43</v>
      </c>
      <c r="I20" s="4">
        <v>9.7660685895980016E-3</v>
      </c>
      <c r="J20" s="6">
        <v>2038</v>
      </c>
      <c r="K20" s="4">
        <v>0.46286622757210993</v>
      </c>
      <c r="L20" s="6">
        <v>1546</v>
      </c>
      <c r="M20" s="4">
        <v>0.35112423347717464</v>
      </c>
      <c r="N20" s="6">
        <v>587</v>
      </c>
      <c r="O20" s="5">
        <v>0.13331819214172155</v>
      </c>
      <c r="Q20" s="10"/>
    </row>
    <row r="21" spans="1:17" x14ac:dyDescent="0.2">
      <c r="A21" s="7" t="s">
        <v>31</v>
      </c>
      <c r="B21" s="6">
        <v>32571</v>
      </c>
      <c r="C21" s="111">
        <v>37.1</v>
      </c>
      <c r="D21" s="6">
        <v>2421</v>
      </c>
      <c r="E21" s="4">
        <v>7.4329925393755186E-2</v>
      </c>
      <c r="F21" s="6">
        <v>1544</v>
      </c>
      <c r="G21" s="4">
        <v>4.7404132510515493E-2</v>
      </c>
      <c r="H21" s="79">
        <v>360</v>
      </c>
      <c r="I21" s="4">
        <v>1.1052777010223818E-2</v>
      </c>
      <c r="J21" s="6">
        <v>11029</v>
      </c>
      <c r="K21" s="4">
        <v>0.33861410457155139</v>
      </c>
      <c r="L21" s="6">
        <v>10922</v>
      </c>
      <c r="M21" s="4">
        <v>0.33532897362684599</v>
      </c>
      <c r="N21" s="6">
        <v>6295</v>
      </c>
      <c r="O21" s="5">
        <v>0.19327008688710817</v>
      </c>
      <c r="Q21" s="10"/>
    </row>
    <row r="22" spans="1:17" x14ac:dyDescent="0.2">
      <c r="A22" s="7" t="s">
        <v>32</v>
      </c>
      <c r="B22" s="6">
        <v>6619</v>
      </c>
      <c r="C22" s="111">
        <v>37.799999999999997</v>
      </c>
      <c r="D22" s="6">
        <v>297</v>
      </c>
      <c r="E22" s="4">
        <v>4.4870826408823082E-2</v>
      </c>
      <c r="F22" s="6">
        <v>125</v>
      </c>
      <c r="G22" s="4">
        <v>1.8885027949841367E-2</v>
      </c>
      <c r="H22" s="79">
        <v>141</v>
      </c>
      <c r="I22" s="4">
        <v>2.1302311527421059E-2</v>
      </c>
      <c r="J22" s="6">
        <v>2504</v>
      </c>
      <c r="K22" s="4">
        <v>0.37830487989122225</v>
      </c>
      <c r="L22" s="6">
        <v>2168</v>
      </c>
      <c r="M22" s="4">
        <v>0.32754192476204863</v>
      </c>
      <c r="N22" s="6">
        <v>1384</v>
      </c>
      <c r="O22" s="5">
        <v>0.20909502946064359</v>
      </c>
      <c r="Q22" s="10"/>
    </row>
    <row r="23" spans="1:17" x14ac:dyDescent="0.2">
      <c r="A23" s="7" t="s">
        <v>33</v>
      </c>
      <c r="B23" s="6">
        <v>33526</v>
      </c>
      <c r="C23" s="111">
        <v>42.8</v>
      </c>
      <c r="D23" s="6">
        <v>4066</v>
      </c>
      <c r="E23" s="4">
        <v>0.12127900733758874</v>
      </c>
      <c r="F23" s="6">
        <v>2829</v>
      </c>
      <c r="G23" s="4">
        <v>8.4382270476644997E-2</v>
      </c>
      <c r="H23" s="79">
        <v>319</v>
      </c>
      <c r="I23" s="4">
        <v>9.5150032810356142E-3</v>
      </c>
      <c r="J23" s="6">
        <v>6062</v>
      </c>
      <c r="K23" s="4">
        <v>0.18081488993616895</v>
      </c>
      <c r="L23" s="6">
        <v>11182</v>
      </c>
      <c r="M23" s="4">
        <v>0.33353218397661516</v>
      </c>
      <c r="N23" s="6">
        <v>9068</v>
      </c>
      <c r="O23" s="5">
        <v>0.27047664499194657</v>
      </c>
      <c r="Q23" s="10"/>
    </row>
    <row r="24" spans="1:17" x14ac:dyDescent="0.2">
      <c r="Q24" s="10"/>
    </row>
    <row r="25" spans="1:17" x14ac:dyDescent="0.2">
      <c r="Q25" s="10"/>
    </row>
    <row r="26" spans="1:17" x14ac:dyDescent="0.2">
      <c r="Q26" s="10"/>
    </row>
    <row r="27" spans="1:17" x14ac:dyDescent="0.2">
      <c r="Q27" s="10"/>
    </row>
    <row r="28" spans="1:17" x14ac:dyDescent="0.2">
      <c r="Q28" s="10"/>
    </row>
    <row r="29" spans="1:17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54"/>
    </row>
    <row r="30" spans="1:17" x14ac:dyDescent="0.2">
      <c r="A30" s="8" t="s">
        <v>34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7" x14ac:dyDescent="0.2">
      <c r="A31" s="9" t="s">
        <v>35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7" x14ac:dyDescent="0.2">
      <c r="A32" s="9" t="s">
        <v>36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">
      <c r="A33" s="9" t="s">
        <v>37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">
      <c r="A34" s="9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9D08E"/>
  </sheetPr>
  <dimension ref="A1:N35"/>
  <sheetViews>
    <sheetView workbookViewId="0">
      <pane xSplit="1" topLeftCell="B1" activePane="topRight" state="frozen"/>
      <selection activeCell="A4" sqref="A4"/>
      <selection pane="topRight" activeCell="M11" sqref="M11"/>
    </sheetView>
  </sheetViews>
  <sheetFormatPr baseColWidth="10" defaultColWidth="8.83203125" defaultRowHeight="15" x14ac:dyDescent="0.2"/>
  <cols>
    <col min="1" max="1" width="38.33203125" customWidth="1"/>
    <col min="2" max="2" width="11.5" bestFit="1" customWidth="1"/>
    <col min="3" max="3" width="15.5" customWidth="1"/>
    <col min="4" max="4" width="9.5" bestFit="1" customWidth="1"/>
    <col min="5" max="5" width="15.6640625" customWidth="1"/>
    <col min="6" max="6" width="10.5" bestFit="1" customWidth="1"/>
    <col min="7" max="7" width="17.1640625" customWidth="1"/>
    <col min="8" max="8" width="10.5" bestFit="1" customWidth="1"/>
    <col min="9" max="9" width="15.83203125" customWidth="1"/>
    <col min="10" max="10" width="10.5" bestFit="1" customWidth="1"/>
    <col min="11" max="11" width="17.1640625" customWidth="1"/>
    <col min="12" max="12" width="9.5" bestFit="1" customWidth="1"/>
    <col min="13" max="15" width="10.5" bestFit="1" customWidth="1"/>
  </cols>
  <sheetData>
    <row r="1" spans="1:14" ht="48" x14ac:dyDescent="0.2">
      <c r="A1" s="127" t="s">
        <v>275</v>
      </c>
      <c r="B1" s="128" t="s">
        <v>38</v>
      </c>
      <c r="C1" s="12" t="s">
        <v>39</v>
      </c>
      <c r="D1" s="13" t="s">
        <v>3</v>
      </c>
      <c r="E1" s="14" t="s">
        <v>40</v>
      </c>
      <c r="F1" s="15" t="s">
        <v>3</v>
      </c>
      <c r="G1" s="14" t="s">
        <v>41</v>
      </c>
      <c r="H1" s="15" t="s">
        <v>3</v>
      </c>
      <c r="I1" s="14" t="s">
        <v>42</v>
      </c>
      <c r="J1" s="15" t="s">
        <v>3</v>
      </c>
      <c r="K1" s="14" t="s">
        <v>43</v>
      </c>
      <c r="L1" s="14" t="s">
        <v>3</v>
      </c>
    </row>
    <row r="2" spans="1:14" x14ac:dyDescent="0.2">
      <c r="A2" s="19" t="s">
        <v>12</v>
      </c>
      <c r="B2" s="16">
        <v>6526</v>
      </c>
      <c r="C2" s="16">
        <v>1102</v>
      </c>
      <c r="D2" s="17">
        <v>0.16886300950045971</v>
      </c>
      <c r="E2" s="16">
        <v>168</v>
      </c>
      <c r="F2" s="17">
        <v>2.5743181121667177E-2</v>
      </c>
      <c r="G2" s="16">
        <v>327</v>
      </c>
      <c r="H2" s="17">
        <v>5.0107263254673615E-2</v>
      </c>
      <c r="I2" s="16">
        <v>2431</v>
      </c>
      <c r="J2" s="17">
        <v>0.37250996015936255</v>
      </c>
      <c r="K2" s="16">
        <v>2498</v>
      </c>
      <c r="L2" s="17">
        <v>0.38277658596383696</v>
      </c>
    </row>
    <row r="3" spans="1:14" ht="15" customHeight="1" x14ac:dyDescent="0.2">
      <c r="A3" s="19" t="s">
        <v>45</v>
      </c>
      <c r="B3" s="16">
        <v>9829</v>
      </c>
      <c r="C3" s="16">
        <v>2675</v>
      </c>
      <c r="D3" s="17">
        <v>0.27215383050157699</v>
      </c>
      <c r="E3" s="16">
        <v>118</v>
      </c>
      <c r="F3" s="17">
        <v>1.200529046698545E-2</v>
      </c>
      <c r="G3" s="16">
        <v>423</v>
      </c>
      <c r="H3" s="17">
        <v>4.3035914131651233E-2</v>
      </c>
      <c r="I3" s="16">
        <v>5143</v>
      </c>
      <c r="J3" s="17">
        <v>0.52324753281106928</v>
      </c>
      <c r="K3" s="16">
        <v>1470</v>
      </c>
      <c r="L3" s="17">
        <v>0.14955743208871705</v>
      </c>
    </row>
    <row r="4" spans="1:14" x14ac:dyDescent="0.2">
      <c r="A4" s="19" t="s">
        <v>46</v>
      </c>
      <c r="B4" s="16">
        <v>5427</v>
      </c>
      <c r="C4" s="16">
        <v>1540</v>
      </c>
      <c r="D4" s="17">
        <v>0.2837663534180947</v>
      </c>
      <c r="E4" s="16">
        <v>40</v>
      </c>
      <c r="F4" s="17">
        <v>7.3705546342362266E-3</v>
      </c>
      <c r="G4" s="16">
        <v>53</v>
      </c>
      <c r="H4" s="17">
        <v>9.7659848903630005E-3</v>
      </c>
      <c r="I4" s="16">
        <v>2747</v>
      </c>
      <c r="J4" s="17">
        <v>0.50617283950617287</v>
      </c>
      <c r="K4" s="16">
        <v>1047</v>
      </c>
      <c r="L4" s="17">
        <v>0.19292426755113323</v>
      </c>
    </row>
    <row r="5" spans="1:14" x14ac:dyDescent="0.2">
      <c r="A5" s="19" t="s">
        <v>15</v>
      </c>
      <c r="B5" s="16">
        <v>22698</v>
      </c>
      <c r="C5" s="16">
        <v>5986</v>
      </c>
      <c r="D5" s="17">
        <v>0.26372367609481012</v>
      </c>
      <c r="E5" s="16">
        <v>508</v>
      </c>
      <c r="F5" s="17">
        <v>2.2380826504537845E-2</v>
      </c>
      <c r="G5" s="16">
        <v>1357</v>
      </c>
      <c r="H5" s="17">
        <v>5.9785003083972159E-2</v>
      </c>
      <c r="I5" s="16">
        <v>7770</v>
      </c>
      <c r="J5" s="17">
        <v>0.34232090933121861</v>
      </c>
      <c r="K5" s="16">
        <v>7077</v>
      </c>
      <c r="L5" s="17">
        <v>0.31178958498546128</v>
      </c>
      <c r="M5" s="26"/>
      <c r="N5" s="26"/>
    </row>
    <row r="6" spans="1:14" x14ac:dyDescent="0.2">
      <c r="A6" s="19" t="s">
        <v>16</v>
      </c>
      <c r="B6" s="16">
        <v>9162</v>
      </c>
      <c r="C6" s="16">
        <v>3336</v>
      </c>
      <c r="D6" s="17">
        <v>0.36411263916175507</v>
      </c>
      <c r="E6" s="16">
        <v>383</v>
      </c>
      <c r="F6" s="17">
        <v>4.1803099759877754E-2</v>
      </c>
      <c r="G6" s="16">
        <v>859</v>
      </c>
      <c r="H6" s="17">
        <v>9.3756821654660552E-2</v>
      </c>
      <c r="I6" s="16">
        <v>3530</v>
      </c>
      <c r="J6" s="17">
        <v>0.38528705522811613</v>
      </c>
      <c r="K6" s="16">
        <v>1054</v>
      </c>
      <c r="L6" s="17">
        <v>0.11504038419559048</v>
      </c>
      <c r="M6" s="26"/>
      <c r="N6" s="26"/>
    </row>
    <row r="7" spans="1:14" x14ac:dyDescent="0.2">
      <c r="A7" s="19" t="s">
        <v>17</v>
      </c>
      <c r="B7" s="16">
        <v>44301</v>
      </c>
      <c r="C7" s="16">
        <v>11767</v>
      </c>
      <c r="D7" s="17">
        <v>0.26561477167558295</v>
      </c>
      <c r="E7" s="16">
        <v>2980</v>
      </c>
      <c r="F7" s="17">
        <v>6.7267104580032058E-2</v>
      </c>
      <c r="G7" s="16">
        <v>11966</v>
      </c>
      <c r="H7" s="17">
        <v>0.27010676959888041</v>
      </c>
      <c r="I7" s="16">
        <v>12857</v>
      </c>
      <c r="J7" s="17">
        <v>0.29021918241123223</v>
      </c>
      <c r="K7" s="16">
        <v>4731</v>
      </c>
      <c r="L7" s="17">
        <v>0.10679217173427237</v>
      </c>
      <c r="M7" s="26"/>
      <c r="N7" s="26"/>
    </row>
    <row r="8" spans="1:14" x14ac:dyDescent="0.2">
      <c r="A8" s="19" t="s">
        <v>18</v>
      </c>
      <c r="B8" s="16">
        <v>7942</v>
      </c>
      <c r="C8" s="16">
        <v>2840</v>
      </c>
      <c r="D8" s="17">
        <v>0.35759254595819695</v>
      </c>
      <c r="E8" s="16">
        <v>174</v>
      </c>
      <c r="F8" s="17">
        <v>2.1908839083354319E-2</v>
      </c>
      <c r="G8" s="16">
        <v>320</v>
      </c>
      <c r="H8" s="17">
        <v>4.0292117854444726E-2</v>
      </c>
      <c r="I8" s="16">
        <v>3641</v>
      </c>
      <c r="J8" s="17">
        <v>0.45844875346260389</v>
      </c>
      <c r="K8" s="16">
        <v>967</v>
      </c>
      <c r="L8" s="17">
        <v>0.12175774364140016</v>
      </c>
      <c r="M8" s="26"/>
      <c r="N8" s="26"/>
    </row>
    <row r="9" spans="1:14" x14ac:dyDescent="0.2">
      <c r="A9" s="19" t="s">
        <v>19</v>
      </c>
      <c r="B9" s="16">
        <v>16565</v>
      </c>
      <c r="C9" s="16">
        <v>5041</v>
      </c>
      <c r="D9" s="17">
        <v>0.30431632961062483</v>
      </c>
      <c r="E9" s="16">
        <v>1788</v>
      </c>
      <c r="F9" s="17">
        <v>0.10793842438877151</v>
      </c>
      <c r="G9" s="16">
        <v>2838</v>
      </c>
      <c r="H9" s="17">
        <v>0.17132508300633867</v>
      </c>
      <c r="I9" s="16">
        <v>4625</v>
      </c>
      <c r="J9" s="17">
        <v>0.27920313914880773</v>
      </c>
      <c r="K9" s="16">
        <v>2273</v>
      </c>
      <c r="L9" s="17">
        <v>0.13721702384545728</v>
      </c>
      <c r="M9" s="26"/>
      <c r="N9" s="26"/>
    </row>
    <row r="10" spans="1:14" x14ac:dyDescent="0.2">
      <c r="A10" s="19" t="s">
        <v>20</v>
      </c>
      <c r="B10" s="16">
        <v>11226</v>
      </c>
      <c r="C10" s="16">
        <v>1712</v>
      </c>
      <c r="D10" s="17">
        <v>0.15250311776233744</v>
      </c>
      <c r="E10" s="16">
        <v>240</v>
      </c>
      <c r="F10" s="17">
        <v>2.1378941742383754E-2</v>
      </c>
      <c r="G10" s="16">
        <v>378</v>
      </c>
      <c r="H10" s="17">
        <v>3.3671833244254407E-2</v>
      </c>
      <c r="I10" s="16">
        <v>6065</v>
      </c>
      <c r="J10" s="17">
        <v>0.54026367361482275</v>
      </c>
      <c r="K10" s="16">
        <v>2831</v>
      </c>
      <c r="L10" s="17">
        <v>0.25218243363620169</v>
      </c>
      <c r="M10" s="26"/>
      <c r="N10" s="26"/>
    </row>
    <row r="11" spans="1:14" x14ac:dyDescent="0.2">
      <c r="A11" s="19" t="s">
        <v>21</v>
      </c>
      <c r="B11" s="16">
        <v>13147</v>
      </c>
      <c r="C11" s="16">
        <v>5053</v>
      </c>
      <c r="D11" s="17">
        <v>0.38434623868563172</v>
      </c>
      <c r="E11" s="16">
        <v>785</v>
      </c>
      <c r="F11" s="17">
        <v>5.9709439415836313E-2</v>
      </c>
      <c r="G11" s="16">
        <v>3521</v>
      </c>
      <c r="H11" s="17">
        <v>0.26781775309956646</v>
      </c>
      <c r="I11" s="16">
        <v>3003</v>
      </c>
      <c r="J11" s="17">
        <v>0.22841712938312922</v>
      </c>
      <c r="K11" s="16">
        <v>785</v>
      </c>
      <c r="L11" s="17">
        <v>5.9709439415836313E-2</v>
      </c>
      <c r="M11" s="26"/>
      <c r="N11" s="26"/>
    </row>
    <row r="12" spans="1:14" x14ac:dyDescent="0.2">
      <c r="A12" s="19" t="s">
        <v>22</v>
      </c>
      <c r="B12" s="16">
        <v>16423</v>
      </c>
      <c r="C12" s="16">
        <v>5538</v>
      </c>
      <c r="D12" s="17">
        <v>0.33721001035133652</v>
      </c>
      <c r="E12" s="16">
        <v>522</v>
      </c>
      <c r="F12" s="17">
        <v>3.1784692199963466E-2</v>
      </c>
      <c r="G12" s="16">
        <v>2023</v>
      </c>
      <c r="H12" s="17">
        <v>0.12318090482859405</v>
      </c>
      <c r="I12" s="16">
        <v>5329</v>
      </c>
      <c r="J12" s="17">
        <v>0.32448395542836267</v>
      </c>
      <c r="K12" s="16">
        <v>3011</v>
      </c>
      <c r="L12" s="17">
        <v>0.18334043719174328</v>
      </c>
      <c r="M12" s="26"/>
      <c r="N12" s="26"/>
    </row>
    <row r="13" spans="1:14" x14ac:dyDescent="0.2">
      <c r="A13" s="19" t="s">
        <v>23</v>
      </c>
      <c r="B13" s="16">
        <v>269</v>
      </c>
      <c r="C13" s="16">
        <v>37</v>
      </c>
      <c r="D13" s="17">
        <v>0.13754646840148699</v>
      </c>
      <c r="E13" s="16">
        <v>10</v>
      </c>
      <c r="F13" s="17">
        <v>3.717472118959108E-2</v>
      </c>
      <c r="G13" s="16">
        <v>2</v>
      </c>
      <c r="H13" s="17">
        <v>7.4349442379182153E-3</v>
      </c>
      <c r="I13" s="16">
        <v>169</v>
      </c>
      <c r="J13" s="17">
        <v>0.62825278810408924</v>
      </c>
      <c r="K13" s="16">
        <v>51</v>
      </c>
      <c r="L13" s="17">
        <v>0.1895910780669145</v>
      </c>
      <c r="M13" s="26"/>
      <c r="N13" s="26"/>
    </row>
    <row r="14" spans="1:14" x14ac:dyDescent="0.2">
      <c r="A14" s="19" t="s">
        <v>24</v>
      </c>
      <c r="B14" s="16">
        <v>9173</v>
      </c>
      <c r="C14" s="16">
        <v>2730</v>
      </c>
      <c r="D14" s="17">
        <v>0.29761255859587921</v>
      </c>
      <c r="E14" s="16">
        <v>692</v>
      </c>
      <c r="F14" s="17">
        <v>7.5438787746647765E-2</v>
      </c>
      <c r="G14" s="16">
        <v>2873</v>
      </c>
      <c r="H14" s="17">
        <v>0.31320178785566338</v>
      </c>
      <c r="I14" s="16">
        <v>2614</v>
      </c>
      <c r="J14" s="17">
        <v>0.28496675024528506</v>
      </c>
      <c r="K14" s="16">
        <v>264</v>
      </c>
      <c r="L14" s="17">
        <v>2.8780115556524582E-2</v>
      </c>
      <c r="M14" s="26"/>
      <c r="N14" s="26"/>
    </row>
    <row r="15" spans="1:14" x14ac:dyDescent="0.2">
      <c r="A15" s="19" t="s">
        <v>47</v>
      </c>
      <c r="B15" s="16">
        <v>6687</v>
      </c>
      <c r="C15" s="16">
        <v>915</v>
      </c>
      <c r="D15" s="17">
        <v>0.13683266038582323</v>
      </c>
      <c r="E15" s="16">
        <v>166</v>
      </c>
      <c r="F15" s="17">
        <v>2.4824285927919843E-2</v>
      </c>
      <c r="G15" s="16">
        <v>1035</v>
      </c>
      <c r="H15" s="17">
        <v>0.15477792732166892</v>
      </c>
      <c r="I15" s="16">
        <v>2815</v>
      </c>
      <c r="J15" s="17">
        <v>0.42096605353671301</v>
      </c>
      <c r="K15" s="16">
        <v>1756</v>
      </c>
      <c r="L15" s="17">
        <v>0.26259907282787498</v>
      </c>
      <c r="M15" s="26"/>
      <c r="N15" s="26"/>
    </row>
    <row r="16" spans="1:14" x14ac:dyDescent="0.2">
      <c r="A16" s="19" t="s">
        <v>48</v>
      </c>
      <c r="B16" s="16">
        <v>5086</v>
      </c>
      <c r="C16" s="16">
        <v>903</v>
      </c>
      <c r="D16" s="17">
        <v>0.1775462052693669</v>
      </c>
      <c r="E16" s="16">
        <v>55</v>
      </c>
      <c r="F16" s="17">
        <v>1.0813999213527331E-2</v>
      </c>
      <c r="G16" s="16">
        <v>180</v>
      </c>
      <c r="H16" s="17">
        <v>3.5391270153362173E-2</v>
      </c>
      <c r="I16" s="16">
        <v>2666</v>
      </c>
      <c r="J16" s="17">
        <v>0.52418403460479746</v>
      </c>
      <c r="K16" s="16">
        <v>1282</v>
      </c>
      <c r="L16" s="17">
        <v>0.2520644907589461</v>
      </c>
      <c r="M16" s="26"/>
      <c r="N16" s="26"/>
    </row>
    <row r="17" spans="1:14" x14ac:dyDescent="0.2">
      <c r="A17" s="19" t="s">
        <v>27</v>
      </c>
      <c r="B17" s="16">
        <v>11482</v>
      </c>
      <c r="C17" s="16">
        <v>4639</v>
      </c>
      <c r="D17" s="17">
        <v>0.4040236892527434</v>
      </c>
      <c r="E17" s="16">
        <v>575</v>
      </c>
      <c r="F17" s="17">
        <v>5.0078383556871622E-2</v>
      </c>
      <c r="G17" s="16">
        <v>1894</v>
      </c>
      <c r="H17" s="17">
        <v>0.16495384079428671</v>
      </c>
      <c r="I17" s="16">
        <v>3293</v>
      </c>
      <c r="J17" s="17">
        <v>0.2867967253091796</v>
      </c>
      <c r="K17" s="16">
        <v>1081</v>
      </c>
      <c r="L17" s="17">
        <v>9.4147361086918652E-2</v>
      </c>
      <c r="M17" s="26"/>
      <c r="N17" s="26"/>
    </row>
    <row r="18" spans="1:14" x14ac:dyDescent="0.2">
      <c r="A18" s="19" t="s">
        <v>28</v>
      </c>
      <c r="B18" s="16">
        <v>19899</v>
      </c>
      <c r="C18" s="16">
        <v>3536</v>
      </c>
      <c r="D18" s="17">
        <v>0.17769737172722247</v>
      </c>
      <c r="E18" s="16">
        <v>1232</v>
      </c>
      <c r="F18" s="17">
        <v>6.1912658927584303E-2</v>
      </c>
      <c r="G18" s="16">
        <v>6159</v>
      </c>
      <c r="H18" s="17">
        <v>0.30951304085632442</v>
      </c>
      <c r="I18" s="16">
        <v>7380</v>
      </c>
      <c r="J18" s="17">
        <v>0.370872908186341</v>
      </c>
      <c r="K18" s="16">
        <v>1592</v>
      </c>
      <c r="L18" s="17">
        <v>8.0004020302527762E-2</v>
      </c>
      <c r="M18" s="26"/>
      <c r="N18" s="26"/>
    </row>
    <row r="19" spans="1:14" x14ac:dyDescent="0.2">
      <c r="A19" s="19" t="s">
        <v>29</v>
      </c>
      <c r="B19" s="16">
        <v>16730</v>
      </c>
      <c r="C19" s="16">
        <v>4131</v>
      </c>
      <c r="D19" s="17">
        <v>0.24692169754931262</v>
      </c>
      <c r="E19" s="16">
        <v>475</v>
      </c>
      <c r="F19" s="17">
        <v>2.8392109982068141E-2</v>
      </c>
      <c r="G19" s="16">
        <v>1882</v>
      </c>
      <c r="H19" s="17">
        <v>0.11249252839210998</v>
      </c>
      <c r="I19" s="16">
        <v>5837</v>
      </c>
      <c r="J19" s="17">
        <v>0.34889420203227733</v>
      </c>
      <c r="K19" s="16">
        <v>4405</v>
      </c>
      <c r="L19" s="17">
        <v>0.26329946204423194</v>
      </c>
      <c r="M19" s="26"/>
      <c r="N19" s="26"/>
    </row>
    <row r="20" spans="1:14" x14ac:dyDescent="0.2">
      <c r="A20" s="19" t="s">
        <v>30</v>
      </c>
      <c r="B20" s="16">
        <v>2628</v>
      </c>
      <c r="C20" s="16">
        <v>610</v>
      </c>
      <c r="D20" s="17">
        <v>0.23211567732115676</v>
      </c>
      <c r="E20" s="16">
        <v>45</v>
      </c>
      <c r="F20" s="17">
        <v>1.7123287671232876E-2</v>
      </c>
      <c r="G20" s="16">
        <v>72</v>
      </c>
      <c r="H20" s="17">
        <v>2.7397260273972601E-2</v>
      </c>
      <c r="I20" s="16">
        <v>1512</v>
      </c>
      <c r="J20" s="17">
        <v>0.57534246575342463</v>
      </c>
      <c r="K20" s="16">
        <v>389</v>
      </c>
      <c r="L20" s="17">
        <v>0.1480213089802131</v>
      </c>
      <c r="M20" s="26"/>
      <c r="N20" s="26"/>
    </row>
    <row r="21" spans="1:14" x14ac:dyDescent="0.2">
      <c r="A21" s="19" t="s">
        <v>49</v>
      </c>
      <c r="B21" s="16">
        <v>16819</v>
      </c>
      <c r="C21" s="16">
        <v>4757</v>
      </c>
      <c r="D21" s="17">
        <v>0.28283488911350257</v>
      </c>
      <c r="E21" s="16">
        <v>375</v>
      </c>
      <c r="F21" s="17">
        <v>2.2296212616683513E-2</v>
      </c>
      <c r="G21" s="16">
        <v>1473</v>
      </c>
      <c r="H21" s="17">
        <v>8.7579523158332839E-2</v>
      </c>
      <c r="I21" s="16">
        <v>7833</v>
      </c>
      <c r="J21" s="17">
        <v>0.46572328913728522</v>
      </c>
      <c r="K21" s="16">
        <v>2381</v>
      </c>
      <c r="L21" s="17">
        <v>0.14156608597419584</v>
      </c>
      <c r="M21" s="26"/>
      <c r="N21" s="26"/>
    </row>
    <row r="22" spans="1:14" x14ac:dyDescent="0.2">
      <c r="A22" s="19" t="s">
        <v>50</v>
      </c>
      <c r="B22" s="16">
        <v>3558</v>
      </c>
      <c r="C22" s="16">
        <v>1052</v>
      </c>
      <c r="D22" s="17">
        <v>0.29567172568858907</v>
      </c>
      <c r="E22" s="16">
        <v>65</v>
      </c>
      <c r="F22" s="17">
        <v>1.8268690275435637E-2</v>
      </c>
      <c r="G22" s="16">
        <v>72</v>
      </c>
      <c r="H22" s="17">
        <v>2.0236087689713321E-2</v>
      </c>
      <c r="I22" s="16">
        <v>1916</v>
      </c>
      <c r="J22" s="17">
        <v>0.53850477796514895</v>
      </c>
      <c r="K22" s="16">
        <v>453</v>
      </c>
      <c r="L22" s="17">
        <v>0.12731871838111297</v>
      </c>
      <c r="M22" s="26"/>
      <c r="N22" s="26"/>
    </row>
    <row r="23" spans="1:14" x14ac:dyDescent="0.2">
      <c r="A23" s="19" t="s">
        <v>33</v>
      </c>
      <c r="B23" s="16">
        <v>13933</v>
      </c>
      <c r="C23" s="16">
        <v>6436</v>
      </c>
      <c r="D23" s="17">
        <v>0.46192492643364674</v>
      </c>
      <c r="E23" s="16">
        <v>525</v>
      </c>
      <c r="F23" s="17">
        <v>3.7680327280556952E-2</v>
      </c>
      <c r="G23" s="16">
        <v>1566</v>
      </c>
      <c r="H23" s="17">
        <v>0.11239503337400417</v>
      </c>
      <c r="I23" s="16">
        <v>4433</v>
      </c>
      <c r="J23" s="17">
        <v>0.31816550635182661</v>
      </c>
      <c r="K23" s="16">
        <v>973</v>
      </c>
      <c r="L23" s="17">
        <v>6.9834206559965556E-2</v>
      </c>
      <c r="M23" s="26"/>
      <c r="N23" s="26"/>
    </row>
    <row r="24" spans="1:14" x14ac:dyDescent="0.2">
      <c r="M24" s="26"/>
      <c r="N24" s="26"/>
    </row>
    <row r="25" spans="1:14" x14ac:dyDescent="0.2">
      <c r="M25" s="26"/>
      <c r="N25" s="26"/>
    </row>
    <row r="26" spans="1:14" x14ac:dyDescent="0.2">
      <c r="M26" s="26"/>
      <c r="N26" s="26"/>
    </row>
    <row r="27" spans="1:14" x14ac:dyDescent="0.2">
      <c r="M27" s="26"/>
      <c r="N27" s="26"/>
    </row>
    <row r="28" spans="1:14" x14ac:dyDescent="0.2">
      <c r="M28" s="26"/>
      <c r="N28" s="26"/>
    </row>
    <row r="29" spans="1:14" x14ac:dyDescent="0.2">
      <c r="M29" s="26"/>
      <c r="N29" s="26"/>
    </row>
    <row r="30" spans="1:14" x14ac:dyDescent="0.2">
      <c r="L30" s="20"/>
    </row>
    <row r="31" spans="1:14" x14ac:dyDescent="0.2">
      <c r="A31" s="21" t="s">
        <v>34</v>
      </c>
    </row>
    <row r="32" spans="1:14" x14ac:dyDescent="0.2">
      <c r="A32" s="22" t="s">
        <v>51</v>
      </c>
    </row>
    <row r="33" spans="1:1" x14ac:dyDescent="0.2">
      <c r="A33" s="22" t="s">
        <v>52</v>
      </c>
    </row>
    <row r="34" spans="1:1" x14ac:dyDescent="0.2">
      <c r="A34" s="22" t="s">
        <v>53</v>
      </c>
    </row>
    <row r="35" spans="1:1" x14ac:dyDescent="0.2">
      <c r="A35" s="2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9D08E"/>
  </sheetPr>
  <dimension ref="A1:P34"/>
  <sheetViews>
    <sheetView workbookViewId="0">
      <pane xSplit="1" topLeftCell="C1" activePane="topRight" state="frozen"/>
      <selection activeCell="A4" sqref="A4"/>
      <selection pane="topRight" activeCell="M14" sqref="M14"/>
    </sheetView>
  </sheetViews>
  <sheetFormatPr baseColWidth="10" defaultColWidth="8.83203125" defaultRowHeight="15" x14ac:dyDescent="0.2"/>
  <cols>
    <col min="1" max="1" width="41.5" customWidth="1"/>
    <col min="2" max="2" width="11.83203125" hidden="1" customWidth="1"/>
    <col min="3" max="3" width="11.83203125" bestFit="1" customWidth="1"/>
    <col min="4" max="4" width="10.5" bestFit="1" customWidth="1"/>
    <col min="5" max="5" width="15.6640625" customWidth="1"/>
    <col min="6" max="6" width="10.5" bestFit="1" customWidth="1"/>
    <col min="7" max="7" width="10.83203125" bestFit="1" customWidth="1"/>
    <col min="8" max="8" width="11.5" bestFit="1" customWidth="1"/>
    <col min="9" max="10" width="10.5" bestFit="1" customWidth="1"/>
    <col min="11" max="11" width="10.83203125" bestFit="1" customWidth="1"/>
    <col min="12" max="12" width="9.33203125" bestFit="1" customWidth="1"/>
    <col min="13" max="13" width="10.5" bestFit="1" customWidth="1"/>
  </cols>
  <sheetData>
    <row r="1" spans="1:16" ht="32" x14ac:dyDescent="0.2">
      <c r="A1" s="120" t="s">
        <v>275</v>
      </c>
      <c r="B1" s="120" t="s">
        <v>0</v>
      </c>
      <c r="C1" s="120" t="s">
        <v>54</v>
      </c>
      <c r="D1" s="120" t="s">
        <v>3</v>
      </c>
      <c r="E1" s="120" t="s">
        <v>55</v>
      </c>
      <c r="F1" s="120" t="s">
        <v>3</v>
      </c>
      <c r="G1" s="120" t="s">
        <v>56</v>
      </c>
      <c r="H1" s="120" t="s">
        <v>3</v>
      </c>
      <c r="I1" s="120" t="s">
        <v>57</v>
      </c>
      <c r="J1" s="120" t="s">
        <v>3</v>
      </c>
      <c r="K1" s="120" t="s">
        <v>58</v>
      </c>
      <c r="L1" s="120" t="s">
        <v>3</v>
      </c>
    </row>
    <row r="2" spans="1:16" x14ac:dyDescent="0.2">
      <c r="A2" s="19" t="s">
        <v>12</v>
      </c>
      <c r="B2" s="23">
        <v>19261</v>
      </c>
      <c r="C2" s="30">
        <v>9839</v>
      </c>
      <c r="D2" s="27">
        <v>0.51082498312652513</v>
      </c>
      <c r="E2" s="30">
        <v>1099</v>
      </c>
      <c r="F2" s="27">
        <v>5.7058304345568765E-2</v>
      </c>
      <c r="G2" s="30">
        <v>2586</v>
      </c>
      <c r="H2" s="29">
        <v>0.13426094179949119</v>
      </c>
      <c r="I2" s="30">
        <v>4811</v>
      </c>
      <c r="J2" s="29">
        <v>0.24977934686672551</v>
      </c>
      <c r="K2" s="28">
        <v>926</v>
      </c>
      <c r="L2" s="29">
        <v>4.8076423861689421E-2</v>
      </c>
    </row>
    <row r="3" spans="1:16" x14ac:dyDescent="0.2">
      <c r="A3" s="19" t="s">
        <v>45</v>
      </c>
      <c r="B3" s="23">
        <v>17783</v>
      </c>
      <c r="C3" s="30">
        <v>13044</v>
      </c>
      <c r="D3" s="27">
        <v>0.73350953157509979</v>
      </c>
      <c r="E3" s="30">
        <v>761</v>
      </c>
      <c r="F3" s="27">
        <v>4.2793679356688971E-2</v>
      </c>
      <c r="G3" s="30">
        <v>1715</v>
      </c>
      <c r="H3" s="29">
        <v>9.6440420626440981E-2</v>
      </c>
      <c r="I3" s="30">
        <v>1917</v>
      </c>
      <c r="J3" s="29">
        <v>0.10779958387223754</v>
      </c>
      <c r="K3" s="28">
        <v>346</v>
      </c>
      <c r="L3" s="29">
        <v>1.94567845695327E-2</v>
      </c>
    </row>
    <row r="4" spans="1:16" x14ac:dyDescent="0.2">
      <c r="A4" s="19" t="s">
        <v>46</v>
      </c>
      <c r="B4" s="23">
        <v>9648</v>
      </c>
      <c r="C4" s="30">
        <v>8074</v>
      </c>
      <c r="D4" s="27">
        <v>0.83685737976782748</v>
      </c>
      <c r="E4" s="30">
        <v>138</v>
      </c>
      <c r="F4" s="27">
        <v>1.4303482587064677E-2</v>
      </c>
      <c r="G4" s="30">
        <v>580</v>
      </c>
      <c r="H4" s="29">
        <v>6.0116086235489218E-2</v>
      </c>
      <c r="I4" s="30">
        <v>578</v>
      </c>
      <c r="J4" s="29">
        <v>5.9908789386401325E-2</v>
      </c>
      <c r="K4" s="28">
        <v>278</v>
      </c>
      <c r="L4" s="29">
        <v>2.8814262023217248E-2</v>
      </c>
      <c r="M4" s="36"/>
      <c r="N4" s="36"/>
      <c r="O4" s="36"/>
      <c r="P4" s="36"/>
    </row>
    <row r="5" spans="1:16" x14ac:dyDescent="0.2">
      <c r="A5" s="19" t="s">
        <v>15</v>
      </c>
      <c r="B5" s="23">
        <v>55297</v>
      </c>
      <c r="C5" s="30">
        <v>36019</v>
      </c>
      <c r="D5" s="27">
        <v>0.65137349223285168</v>
      </c>
      <c r="E5" s="30">
        <v>2379</v>
      </c>
      <c r="F5" s="27">
        <v>4.3022225437184661E-2</v>
      </c>
      <c r="G5" s="30">
        <v>6689</v>
      </c>
      <c r="H5" s="29">
        <v>0.12096497097491726</v>
      </c>
      <c r="I5" s="30">
        <v>8160</v>
      </c>
      <c r="J5" s="29">
        <v>0.14756677577445432</v>
      </c>
      <c r="K5" s="28">
        <v>2050</v>
      </c>
      <c r="L5" s="29">
        <v>3.7072535580592078E-2</v>
      </c>
      <c r="M5" s="36"/>
      <c r="N5" s="36"/>
      <c r="O5" s="36"/>
      <c r="P5" s="36"/>
    </row>
    <row r="6" spans="1:16" x14ac:dyDescent="0.2">
      <c r="A6" s="19" t="s">
        <v>16</v>
      </c>
      <c r="B6" s="23">
        <v>19890</v>
      </c>
      <c r="C6" s="30">
        <v>14692</v>
      </c>
      <c r="D6" s="27">
        <v>0.73866264454499753</v>
      </c>
      <c r="E6" s="30">
        <v>1019</v>
      </c>
      <c r="F6" s="27">
        <v>5.1231774761186524E-2</v>
      </c>
      <c r="G6" s="30">
        <v>2198</v>
      </c>
      <c r="H6" s="29">
        <v>0.11050779286073403</v>
      </c>
      <c r="I6" s="30">
        <v>1613</v>
      </c>
      <c r="J6" s="29">
        <v>8.1096028154851688E-2</v>
      </c>
      <c r="K6" s="28">
        <v>368</v>
      </c>
      <c r="L6" s="29">
        <v>1.8501759678230267E-2</v>
      </c>
      <c r="M6" s="36"/>
      <c r="N6" s="36"/>
      <c r="O6" s="36"/>
      <c r="P6" s="36"/>
    </row>
    <row r="7" spans="1:16" x14ac:dyDescent="0.2">
      <c r="A7" s="19" t="s">
        <v>17</v>
      </c>
      <c r="B7" s="23">
        <v>126909</v>
      </c>
      <c r="C7" s="30">
        <v>28244</v>
      </c>
      <c r="D7" s="27">
        <v>0.22255316801802866</v>
      </c>
      <c r="E7" s="30">
        <v>55787</v>
      </c>
      <c r="F7" s="27">
        <v>0.43958269311081166</v>
      </c>
      <c r="G7" s="30">
        <v>25288</v>
      </c>
      <c r="H7" s="29">
        <v>0.19926088772269895</v>
      </c>
      <c r="I7" s="30">
        <v>12540</v>
      </c>
      <c r="J7" s="29">
        <v>9.8810959033638276E-2</v>
      </c>
      <c r="K7" s="28">
        <v>5050</v>
      </c>
      <c r="L7" s="29">
        <v>3.9792292114822429E-2</v>
      </c>
      <c r="M7" s="26"/>
      <c r="N7" s="26"/>
    </row>
    <row r="8" spans="1:16" x14ac:dyDescent="0.2">
      <c r="A8" s="19" t="s">
        <v>18</v>
      </c>
      <c r="B8" s="23">
        <v>18306</v>
      </c>
      <c r="C8" s="30">
        <v>10172</v>
      </c>
      <c r="D8" s="27">
        <v>0.55566480935212503</v>
      </c>
      <c r="E8" s="30">
        <v>730</v>
      </c>
      <c r="F8" s="27">
        <v>3.9877635747842234E-2</v>
      </c>
      <c r="G8" s="30">
        <v>1100</v>
      </c>
      <c r="H8" s="29">
        <v>6.0089588113186931E-2</v>
      </c>
      <c r="I8" s="30">
        <v>5701</v>
      </c>
      <c r="J8" s="29">
        <v>0.31142794712116245</v>
      </c>
      <c r="K8" s="28">
        <v>603</v>
      </c>
      <c r="L8" s="29">
        <v>3.2940019665683384E-2</v>
      </c>
      <c r="M8" s="26"/>
      <c r="N8" s="26"/>
    </row>
    <row r="9" spans="1:16" x14ac:dyDescent="0.2">
      <c r="A9" s="19" t="s">
        <v>19</v>
      </c>
      <c r="B9" s="23">
        <v>47263</v>
      </c>
      <c r="C9" s="30">
        <v>16011</v>
      </c>
      <c r="D9" s="27">
        <v>0.33876393796415799</v>
      </c>
      <c r="E9" s="30">
        <v>1171</v>
      </c>
      <c r="F9" s="27">
        <v>2.4776252036476737E-2</v>
      </c>
      <c r="G9" s="30">
        <v>26707</v>
      </c>
      <c r="H9" s="29">
        <v>0.56507204367052455</v>
      </c>
      <c r="I9" s="30">
        <v>2167</v>
      </c>
      <c r="J9" s="29">
        <v>4.5849819097391192E-2</v>
      </c>
      <c r="K9" s="28">
        <v>1207</v>
      </c>
      <c r="L9" s="29">
        <v>2.5537947231449549E-2</v>
      </c>
      <c r="M9" s="26"/>
      <c r="N9" s="26"/>
    </row>
    <row r="10" spans="1:16" x14ac:dyDescent="0.2">
      <c r="A10" s="19" t="s">
        <v>20</v>
      </c>
      <c r="B10" s="23">
        <v>33489</v>
      </c>
      <c r="C10" s="30">
        <v>18856</v>
      </c>
      <c r="D10" s="27">
        <v>0.56305055391322523</v>
      </c>
      <c r="E10" s="30">
        <v>1810</v>
      </c>
      <c r="F10" s="27">
        <v>5.4047597718653889E-2</v>
      </c>
      <c r="G10" s="30">
        <v>4022</v>
      </c>
      <c r="H10" s="29">
        <v>0.12009913703006958</v>
      </c>
      <c r="I10" s="30">
        <v>7071</v>
      </c>
      <c r="J10" s="29">
        <v>0.21114395771745947</v>
      </c>
      <c r="K10" s="28">
        <v>1730</v>
      </c>
      <c r="L10" s="29">
        <v>5.1658753620591837E-2</v>
      </c>
      <c r="M10" s="26"/>
      <c r="N10" s="26"/>
    </row>
    <row r="11" spans="1:16" x14ac:dyDescent="0.2">
      <c r="A11" s="19" t="s">
        <v>21</v>
      </c>
      <c r="B11" s="23">
        <v>38924</v>
      </c>
      <c r="C11" s="30">
        <v>8719</v>
      </c>
      <c r="D11" s="27">
        <v>0.22400061658616791</v>
      </c>
      <c r="E11" s="30">
        <v>18042</v>
      </c>
      <c r="F11" s="27">
        <v>0.46351865173157947</v>
      </c>
      <c r="G11" s="30">
        <v>10242</v>
      </c>
      <c r="H11" s="29">
        <v>0.26312814715856542</v>
      </c>
      <c r="I11" s="30">
        <v>763</v>
      </c>
      <c r="J11" s="29">
        <v>1.9602301921693557E-2</v>
      </c>
      <c r="K11" s="28">
        <v>1158</v>
      </c>
      <c r="L11" s="29">
        <v>2.9750282601993628E-2</v>
      </c>
      <c r="M11" s="26"/>
      <c r="N11" s="26"/>
    </row>
    <row r="12" spans="1:16" x14ac:dyDescent="0.2">
      <c r="A12" s="19" t="s">
        <v>22</v>
      </c>
      <c r="B12" s="23">
        <v>40867</v>
      </c>
      <c r="C12" s="30">
        <v>22533</v>
      </c>
      <c r="D12" s="27">
        <v>0.55137396921721682</v>
      </c>
      <c r="E12" s="30">
        <v>5825</v>
      </c>
      <c r="F12" s="27">
        <v>0.14253554212445249</v>
      </c>
      <c r="G12" s="30">
        <v>9001</v>
      </c>
      <c r="H12" s="29">
        <v>0.22025105831110675</v>
      </c>
      <c r="I12" s="30">
        <v>2004</v>
      </c>
      <c r="J12" s="29">
        <v>4.903712041500477E-2</v>
      </c>
      <c r="K12" s="28">
        <v>1504</v>
      </c>
      <c r="L12" s="29">
        <v>3.6802309932219147E-2</v>
      </c>
      <c r="M12" s="26"/>
      <c r="N12" s="26"/>
    </row>
    <row r="13" spans="1:16" x14ac:dyDescent="0.2">
      <c r="A13" s="19" t="s">
        <v>23</v>
      </c>
      <c r="B13" s="23">
        <v>5351</v>
      </c>
      <c r="C13" s="30">
        <v>3746</v>
      </c>
      <c r="D13" s="27">
        <v>0.70005606428704914</v>
      </c>
      <c r="E13" s="30">
        <v>291</v>
      </c>
      <c r="F13" s="27">
        <v>5.43823584376752E-2</v>
      </c>
      <c r="G13" s="30">
        <v>389</v>
      </c>
      <c r="H13" s="29">
        <v>7.2696692207064095E-2</v>
      </c>
      <c r="I13" s="30">
        <v>752</v>
      </c>
      <c r="J13" s="29">
        <v>0.14053447953653522</v>
      </c>
      <c r="K13" s="28">
        <v>173</v>
      </c>
      <c r="L13" s="29">
        <v>3.2330405531676321E-2</v>
      </c>
      <c r="M13" s="26"/>
      <c r="N13" s="26"/>
    </row>
    <row r="14" spans="1:16" x14ac:dyDescent="0.2">
      <c r="A14" s="19" t="s">
        <v>24</v>
      </c>
      <c r="B14" s="23">
        <v>26659</v>
      </c>
      <c r="C14" s="30">
        <v>1612</v>
      </c>
      <c r="D14" s="27">
        <v>6.0467384373007242E-2</v>
      </c>
      <c r="E14" s="30">
        <v>19821</v>
      </c>
      <c r="F14" s="27">
        <v>0.74350125661127575</v>
      </c>
      <c r="G14" s="30">
        <v>3771</v>
      </c>
      <c r="H14" s="29">
        <v>0.14145316778573841</v>
      </c>
      <c r="I14" s="30">
        <v>499</v>
      </c>
      <c r="J14" s="29">
        <v>1.8717881390899884E-2</v>
      </c>
      <c r="K14" s="28">
        <v>956</v>
      </c>
      <c r="L14" s="29">
        <v>3.5860309839078737E-2</v>
      </c>
      <c r="M14" s="26"/>
      <c r="N14" s="26"/>
    </row>
    <row r="15" spans="1:16" x14ac:dyDescent="0.2">
      <c r="A15" s="19" t="s">
        <v>47</v>
      </c>
      <c r="B15" s="23">
        <v>17386</v>
      </c>
      <c r="C15" s="30">
        <v>7156</v>
      </c>
      <c r="D15" s="27">
        <v>0.41159553663867482</v>
      </c>
      <c r="E15" s="30">
        <v>2662</v>
      </c>
      <c r="F15" s="27">
        <v>0.15311169906821581</v>
      </c>
      <c r="G15" s="30">
        <v>3716</v>
      </c>
      <c r="H15" s="29">
        <v>0.21373518923271598</v>
      </c>
      <c r="I15" s="30">
        <v>3419</v>
      </c>
      <c r="J15" s="29">
        <v>0.19665247900609686</v>
      </c>
      <c r="K15" s="28">
        <v>433</v>
      </c>
      <c r="L15" s="29">
        <v>2.4905096054296562E-2</v>
      </c>
      <c r="M15" s="26"/>
      <c r="N15" s="26"/>
    </row>
    <row r="16" spans="1:16" x14ac:dyDescent="0.2">
      <c r="A16" s="19" t="s">
        <v>48</v>
      </c>
      <c r="B16" s="23">
        <v>8749</v>
      </c>
      <c r="C16" s="30">
        <v>7692</v>
      </c>
      <c r="D16" s="27">
        <v>0.87918619270773801</v>
      </c>
      <c r="E16" s="30">
        <v>29</v>
      </c>
      <c r="F16" s="27">
        <v>3.3146645330894959E-3</v>
      </c>
      <c r="G16" s="30">
        <v>614</v>
      </c>
      <c r="H16" s="29">
        <v>7.0179449079894846E-2</v>
      </c>
      <c r="I16" s="30">
        <v>287</v>
      </c>
      <c r="J16" s="29">
        <v>3.2803748999885703E-2</v>
      </c>
      <c r="K16" s="28">
        <v>127</v>
      </c>
      <c r="L16" s="29">
        <v>1.4515944679391931E-2</v>
      </c>
      <c r="M16" s="26"/>
      <c r="N16" s="26"/>
    </row>
    <row r="17" spans="1:14" x14ac:dyDescent="0.2">
      <c r="A17" s="19" t="s">
        <v>27</v>
      </c>
      <c r="B17" s="23">
        <v>30021</v>
      </c>
      <c r="C17" s="30">
        <v>15291</v>
      </c>
      <c r="D17" s="27">
        <v>0.50934345957829519</v>
      </c>
      <c r="E17" s="30">
        <v>5805</v>
      </c>
      <c r="F17" s="27">
        <v>0.19336464474867593</v>
      </c>
      <c r="G17" s="30">
        <v>7182</v>
      </c>
      <c r="H17" s="29">
        <v>0.23923253722394325</v>
      </c>
      <c r="I17" s="30">
        <v>750</v>
      </c>
      <c r="J17" s="29">
        <v>2.4982512241430999E-2</v>
      </c>
      <c r="K17" s="28">
        <v>993</v>
      </c>
      <c r="L17" s="29">
        <v>3.3076846207654644E-2</v>
      </c>
      <c r="M17" s="26"/>
      <c r="N17" s="26"/>
    </row>
    <row r="18" spans="1:14" x14ac:dyDescent="0.2">
      <c r="A18" s="19" t="s">
        <v>28</v>
      </c>
      <c r="B18" s="23">
        <v>54161</v>
      </c>
      <c r="C18" s="30">
        <v>5937</v>
      </c>
      <c r="D18" s="27">
        <v>0.10961762153579144</v>
      </c>
      <c r="E18" s="30">
        <v>27243</v>
      </c>
      <c r="F18" s="27">
        <v>0.50300031387899047</v>
      </c>
      <c r="G18" s="30">
        <v>16637</v>
      </c>
      <c r="H18" s="29">
        <v>0.30717675079854506</v>
      </c>
      <c r="I18" s="30">
        <v>1905</v>
      </c>
      <c r="J18" s="29">
        <v>3.5172910396779972E-2</v>
      </c>
      <c r="K18" s="28">
        <v>2439</v>
      </c>
      <c r="L18" s="29">
        <v>4.5032403389893096E-2</v>
      </c>
      <c r="M18" s="26"/>
      <c r="N18" s="26"/>
    </row>
    <row r="19" spans="1:14" x14ac:dyDescent="0.2">
      <c r="A19" s="19" t="s">
        <v>29</v>
      </c>
      <c r="B19" s="23">
        <v>36772</v>
      </c>
      <c r="C19" s="30">
        <v>28008</v>
      </c>
      <c r="D19" s="27">
        <v>0.7616664853693027</v>
      </c>
      <c r="E19" s="30">
        <v>2064</v>
      </c>
      <c r="F19" s="27">
        <v>5.6129663874687263E-2</v>
      </c>
      <c r="G19" s="30">
        <v>4065</v>
      </c>
      <c r="H19" s="29">
        <v>0.11054606766017622</v>
      </c>
      <c r="I19" s="30">
        <v>2070</v>
      </c>
      <c r="J19" s="29">
        <v>5.6292831502229961E-2</v>
      </c>
      <c r="K19" s="28">
        <v>565</v>
      </c>
      <c r="L19" s="29">
        <v>1.5364951593603829E-2</v>
      </c>
      <c r="M19" s="26"/>
      <c r="N19" s="26"/>
    </row>
    <row r="20" spans="1:14" x14ac:dyDescent="0.2">
      <c r="A20" s="19" t="s">
        <v>30</v>
      </c>
      <c r="B20" s="23">
        <v>4403</v>
      </c>
      <c r="C20" s="30">
        <v>3640</v>
      </c>
      <c r="D20" s="27">
        <v>0.82670906200317962</v>
      </c>
      <c r="E20" s="30">
        <v>93</v>
      </c>
      <c r="F20" s="27">
        <v>2.1121962298432887E-2</v>
      </c>
      <c r="G20" s="30">
        <v>128</v>
      </c>
      <c r="H20" s="29">
        <v>2.9071087894617306E-2</v>
      </c>
      <c r="I20" s="30">
        <v>425</v>
      </c>
      <c r="J20" s="29">
        <v>9.6525096525096526E-2</v>
      </c>
      <c r="K20" s="28">
        <v>117</v>
      </c>
      <c r="L20" s="29">
        <v>2.6572791278673631E-2</v>
      </c>
      <c r="M20" s="26"/>
      <c r="N20" s="26"/>
    </row>
    <row r="21" spans="1:14" x14ac:dyDescent="0.2">
      <c r="A21" s="19" t="s">
        <v>49</v>
      </c>
      <c r="B21" s="23">
        <v>32571</v>
      </c>
      <c r="C21" s="30">
        <v>18044</v>
      </c>
      <c r="D21" s="27">
        <v>0.55398974547910718</v>
      </c>
      <c r="E21" s="30">
        <v>3669</v>
      </c>
      <c r="F21" s="27">
        <v>0.11264621902919775</v>
      </c>
      <c r="G21" s="30">
        <v>4715</v>
      </c>
      <c r="H21" s="29">
        <v>0.1447606766755703</v>
      </c>
      <c r="I21" s="30">
        <v>4974</v>
      </c>
      <c r="J21" s="29">
        <v>0.15271253569125909</v>
      </c>
      <c r="K21" s="28">
        <v>1169</v>
      </c>
      <c r="L21" s="29">
        <v>3.5890823124865676E-2</v>
      </c>
      <c r="M21" s="26"/>
      <c r="N21" s="26"/>
    </row>
    <row r="22" spans="1:14" x14ac:dyDescent="0.2">
      <c r="A22" s="19" t="s">
        <v>50</v>
      </c>
      <c r="B22" s="23">
        <v>6619</v>
      </c>
      <c r="C22" s="30">
        <v>4436</v>
      </c>
      <c r="D22" s="27">
        <v>0.67019187188397034</v>
      </c>
      <c r="E22" s="30">
        <v>463</v>
      </c>
      <c r="F22" s="27">
        <v>6.9950143526212413E-2</v>
      </c>
      <c r="G22" s="30">
        <v>838</v>
      </c>
      <c r="H22" s="29">
        <v>0.12660522737573651</v>
      </c>
      <c r="I22" s="30">
        <v>706</v>
      </c>
      <c r="J22" s="29">
        <v>0.10666263786070404</v>
      </c>
      <c r="K22" s="28">
        <v>176</v>
      </c>
      <c r="L22" s="29">
        <v>2.6590119353376643E-2</v>
      </c>
      <c r="M22" s="26"/>
      <c r="N22" s="26"/>
    </row>
    <row r="23" spans="1:14" x14ac:dyDescent="0.2">
      <c r="A23" s="19" t="s">
        <v>33</v>
      </c>
      <c r="B23" s="23">
        <v>33526</v>
      </c>
      <c r="C23" s="30">
        <v>22584</v>
      </c>
      <c r="D23" s="27">
        <v>0.67362643918153076</v>
      </c>
      <c r="E23" s="30">
        <v>4094</v>
      </c>
      <c r="F23" s="27">
        <v>0.12211418003937242</v>
      </c>
      <c r="G23" s="30">
        <v>3376</v>
      </c>
      <c r="H23" s="29">
        <v>0.10069796575791923</v>
      </c>
      <c r="I23" s="30">
        <v>2500</v>
      </c>
      <c r="J23" s="29">
        <v>7.4568991230686638E-2</v>
      </c>
      <c r="K23" s="28">
        <v>972</v>
      </c>
      <c r="L23" s="29">
        <v>2.8992423790490961E-2</v>
      </c>
      <c r="M23" s="26"/>
      <c r="N23" s="26"/>
    </row>
    <row r="24" spans="1:14" x14ac:dyDescent="0.2">
      <c r="M24" s="26"/>
      <c r="N24" s="26"/>
    </row>
    <row r="25" spans="1:14" x14ac:dyDescent="0.2">
      <c r="M25" s="26"/>
      <c r="N25" s="26"/>
    </row>
    <row r="26" spans="1:14" x14ac:dyDescent="0.2">
      <c r="M26" s="26"/>
      <c r="N26" s="26"/>
    </row>
    <row r="27" spans="1:14" x14ac:dyDescent="0.2">
      <c r="M27" s="26"/>
      <c r="N27" s="26"/>
    </row>
    <row r="28" spans="1:14" x14ac:dyDescent="0.2">
      <c r="M28" s="26"/>
      <c r="N28" s="26"/>
    </row>
    <row r="29" spans="1:14" x14ac:dyDescent="0.2">
      <c r="A29" s="31"/>
      <c r="B29" s="32"/>
    </row>
    <row r="30" spans="1:14" ht="32" x14ac:dyDescent="0.2">
      <c r="A30" s="80" t="s">
        <v>34</v>
      </c>
      <c r="B30" s="26"/>
    </row>
    <row r="31" spans="1:14" x14ac:dyDescent="0.2">
      <c r="A31" s="22" t="s">
        <v>59</v>
      </c>
    </row>
    <row r="32" spans="1:14" x14ac:dyDescent="0.2">
      <c r="A32" s="22" t="s">
        <v>60</v>
      </c>
    </row>
    <row r="33" spans="1:1" x14ac:dyDescent="0.2">
      <c r="A33" s="22" t="s">
        <v>61</v>
      </c>
    </row>
    <row r="34" spans="1:1" x14ac:dyDescent="0.2">
      <c r="A3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9D08E"/>
  </sheetPr>
  <dimension ref="A1:C33"/>
  <sheetViews>
    <sheetView workbookViewId="0">
      <pane xSplit="1" topLeftCell="B1" activePane="topRight" state="frozen"/>
      <selection pane="topRight" sqref="A1:C23"/>
    </sheetView>
  </sheetViews>
  <sheetFormatPr baseColWidth="10" defaultColWidth="8.83203125" defaultRowHeight="15" x14ac:dyDescent="0.2"/>
  <cols>
    <col min="1" max="1" width="27.33203125" customWidth="1"/>
    <col min="2" max="2" width="19" customWidth="1"/>
  </cols>
  <sheetData>
    <row r="1" spans="1:3" ht="32" x14ac:dyDescent="0.2">
      <c r="A1" s="33" t="s">
        <v>275</v>
      </c>
      <c r="B1" s="120" t="s">
        <v>62</v>
      </c>
      <c r="C1" s="88" t="s">
        <v>3</v>
      </c>
    </row>
    <row r="2" spans="1:3" x14ac:dyDescent="0.2">
      <c r="A2" s="19" t="s">
        <v>12</v>
      </c>
      <c r="B2" s="30">
        <v>5340</v>
      </c>
      <c r="C2" s="18">
        <v>0.27724417216136232</v>
      </c>
    </row>
    <row r="3" spans="1:3" x14ac:dyDescent="0.2">
      <c r="A3" s="19" t="s">
        <v>45</v>
      </c>
      <c r="B3" s="30">
        <v>1561</v>
      </c>
      <c r="C3" s="18">
        <v>8.7780464488556489E-2</v>
      </c>
    </row>
    <row r="4" spans="1:3" x14ac:dyDescent="0.2">
      <c r="A4" s="19" t="s">
        <v>46</v>
      </c>
      <c r="B4" s="34">
        <v>0</v>
      </c>
      <c r="C4" s="18">
        <v>0</v>
      </c>
    </row>
    <row r="5" spans="1:3" x14ac:dyDescent="0.2">
      <c r="A5" s="19" t="s">
        <v>15</v>
      </c>
      <c r="B5" s="30">
        <v>3358</v>
      </c>
      <c r="C5" s="18">
        <v>6.0726621697379607E-2</v>
      </c>
    </row>
    <row r="6" spans="1:3" x14ac:dyDescent="0.2">
      <c r="A6" s="19" t="s">
        <v>16</v>
      </c>
      <c r="B6" s="30">
        <v>82</v>
      </c>
      <c r="C6" s="18">
        <v>4.1226747109100051E-3</v>
      </c>
    </row>
    <row r="7" spans="1:3" x14ac:dyDescent="0.2">
      <c r="A7" s="19" t="s">
        <v>17</v>
      </c>
      <c r="B7" s="30">
        <v>1417</v>
      </c>
      <c r="C7" s="18">
        <v>1.1165480777565026E-2</v>
      </c>
    </row>
    <row r="8" spans="1:3" x14ac:dyDescent="0.2">
      <c r="A8" s="19" t="s">
        <v>18</v>
      </c>
      <c r="B8" s="30">
        <v>3915</v>
      </c>
      <c r="C8" s="18">
        <v>0.21386430678466076</v>
      </c>
    </row>
    <row r="9" spans="1:3" x14ac:dyDescent="0.2">
      <c r="A9" s="19" t="s">
        <v>19</v>
      </c>
      <c r="B9" s="30">
        <v>210</v>
      </c>
      <c r="C9" s="18">
        <v>4.4432219706747348E-3</v>
      </c>
    </row>
    <row r="10" spans="1:3" x14ac:dyDescent="0.2">
      <c r="A10" s="19" t="s">
        <v>20</v>
      </c>
      <c r="B10" s="30">
        <v>14408</v>
      </c>
      <c r="C10" s="18">
        <v>0.43023082206097524</v>
      </c>
    </row>
    <row r="11" spans="1:3" x14ac:dyDescent="0.2">
      <c r="A11" s="19" t="s">
        <v>21</v>
      </c>
      <c r="B11" s="30">
        <v>340</v>
      </c>
      <c r="C11" s="18">
        <v>8.7349707121570242E-3</v>
      </c>
    </row>
    <row r="12" spans="1:3" x14ac:dyDescent="0.2">
      <c r="A12" s="19" t="s">
        <v>22</v>
      </c>
      <c r="B12" s="30">
        <v>1088</v>
      </c>
      <c r="C12" s="18">
        <v>2.6622947610541514E-2</v>
      </c>
    </row>
    <row r="13" spans="1:3" x14ac:dyDescent="0.2">
      <c r="A13" s="19" t="s">
        <v>23</v>
      </c>
      <c r="B13" s="30">
        <v>4961</v>
      </c>
      <c r="C13" s="18">
        <v>0.9271164268361054</v>
      </c>
    </row>
    <row r="14" spans="1:3" x14ac:dyDescent="0.2">
      <c r="A14" s="19" t="s">
        <v>24</v>
      </c>
      <c r="B14" s="30">
        <v>373</v>
      </c>
      <c r="C14" s="18">
        <v>1.3991522562736787E-2</v>
      </c>
    </row>
    <row r="15" spans="1:3" x14ac:dyDescent="0.2">
      <c r="A15" s="19" t="s">
        <v>47</v>
      </c>
      <c r="B15" s="30">
        <v>2213</v>
      </c>
      <c r="C15" s="18">
        <v>0.12728632232831014</v>
      </c>
    </row>
    <row r="16" spans="1:3" x14ac:dyDescent="0.2">
      <c r="A16" s="19" t="s">
        <v>48</v>
      </c>
      <c r="B16" s="30">
        <v>68</v>
      </c>
      <c r="C16" s="18">
        <v>7.7723168362098527E-3</v>
      </c>
    </row>
    <row r="17" spans="1:3" x14ac:dyDescent="0.2">
      <c r="A17" s="19" t="s">
        <v>27</v>
      </c>
      <c r="B17" s="30">
        <v>369</v>
      </c>
      <c r="C17" s="18">
        <v>1.2291396022784052E-2</v>
      </c>
    </row>
    <row r="18" spans="1:3" x14ac:dyDescent="0.2">
      <c r="A18" s="19" t="s">
        <v>28</v>
      </c>
      <c r="B18" s="30">
        <v>4084</v>
      </c>
      <c r="C18" s="18">
        <v>7.5404811580288403E-2</v>
      </c>
    </row>
    <row r="19" spans="1:3" x14ac:dyDescent="0.2">
      <c r="A19" s="19" t="s">
        <v>29</v>
      </c>
      <c r="B19" s="30">
        <v>369</v>
      </c>
      <c r="C19" s="18">
        <v>1.0034809093875776E-2</v>
      </c>
    </row>
    <row r="20" spans="1:3" x14ac:dyDescent="0.2">
      <c r="A20" s="19" t="s">
        <v>30</v>
      </c>
      <c r="B20" s="30">
        <v>230</v>
      </c>
      <c r="C20" s="18">
        <v>5.2237111060640475E-2</v>
      </c>
    </row>
    <row r="21" spans="1:3" x14ac:dyDescent="0.2">
      <c r="A21" s="19" t="s">
        <v>49</v>
      </c>
      <c r="B21" s="30">
        <v>1139</v>
      </c>
      <c r="C21" s="18">
        <v>3.4969758374013692E-2</v>
      </c>
    </row>
    <row r="22" spans="1:3" x14ac:dyDescent="0.2">
      <c r="A22" s="19" t="s">
        <v>50</v>
      </c>
      <c r="B22" s="30">
        <v>799</v>
      </c>
      <c r="C22" s="18">
        <v>0.12071309865538601</v>
      </c>
    </row>
    <row r="23" spans="1:3" x14ac:dyDescent="0.2">
      <c r="A23" s="19" t="s">
        <v>33</v>
      </c>
      <c r="B23" s="30">
        <v>539</v>
      </c>
      <c r="C23" s="18">
        <v>1.6077074509336039E-2</v>
      </c>
    </row>
    <row r="30" spans="1:3" x14ac:dyDescent="0.2">
      <c r="A30" s="21" t="s">
        <v>63</v>
      </c>
    </row>
    <row r="31" spans="1:3" x14ac:dyDescent="0.2">
      <c r="A31" s="21" t="s">
        <v>64</v>
      </c>
    </row>
    <row r="32" spans="1:3" x14ac:dyDescent="0.2">
      <c r="A32" s="22" t="s">
        <v>65</v>
      </c>
    </row>
    <row r="33" spans="1:1" x14ac:dyDescent="0.2">
      <c r="A33" s="22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9D08E"/>
  </sheetPr>
  <dimension ref="A1:P34"/>
  <sheetViews>
    <sheetView workbookViewId="0">
      <pane xSplit="1" topLeftCell="I1" activePane="topRight" state="frozen"/>
      <selection activeCell="A4" sqref="A4"/>
      <selection pane="topRight" sqref="A1:N24"/>
    </sheetView>
  </sheetViews>
  <sheetFormatPr baseColWidth="10" defaultColWidth="9.1640625" defaultRowHeight="15" x14ac:dyDescent="0.2"/>
  <cols>
    <col min="1" max="1" width="26.33203125" customWidth="1"/>
    <col min="2" max="2" width="11.1640625" hidden="1" customWidth="1"/>
    <col min="3" max="4" width="13.6640625" hidden="1" customWidth="1"/>
    <col min="5" max="5" width="18.33203125" hidden="1" customWidth="1"/>
    <col min="6" max="6" width="12.33203125" hidden="1" customWidth="1"/>
    <col min="7" max="7" width="18.5" hidden="1" customWidth="1"/>
    <col min="8" max="8" width="12.5" hidden="1" customWidth="1"/>
    <col min="9" max="9" width="15.5" bestFit="1" customWidth="1"/>
    <col min="10" max="10" width="12.5" customWidth="1"/>
    <col min="11" max="11" width="13.6640625" customWidth="1"/>
    <col min="12" max="12" width="11.1640625" customWidth="1"/>
    <col min="13" max="13" width="10.1640625" customWidth="1"/>
    <col min="14" max="14" width="11" customWidth="1"/>
    <col min="15" max="17" width="9.33203125" bestFit="1" customWidth="1"/>
  </cols>
  <sheetData>
    <row r="1" spans="1:16" ht="64" x14ac:dyDescent="0.2">
      <c r="A1" s="14" t="s">
        <v>275</v>
      </c>
      <c r="B1" s="14" t="s">
        <v>67</v>
      </c>
      <c r="C1" s="14" t="s">
        <v>68</v>
      </c>
      <c r="D1" s="14" t="s">
        <v>3</v>
      </c>
      <c r="E1" s="14" t="s">
        <v>69</v>
      </c>
      <c r="F1" s="14" t="s">
        <v>3</v>
      </c>
      <c r="G1" s="14" t="s">
        <v>70</v>
      </c>
      <c r="H1" s="14" t="s">
        <v>3</v>
      </c>
      <c r="I1" s="14" t="s">
        <v>71</v>
      </c>
      <c r="J1" s="14" t="s">
        <v>3</v>
      </c>
      <c r="K1" s="14" t="s">
        <v>72</v>
      </c>
      <c r="L1" s="14" t="s">
        <v>3</v>
      </c>
      <c r="M1" s="14" t="s">
        <v>73</v>
      </c>
      <c r="N1" s="120" t="s">
        <v>3</v>
      </c>
    </row>
    <row r="2" spans="1:16" x14ac:dyDescent="0.2">
      <c r="A2" s="19" t="s">
        <v>12</v>
      </c>
      <c r="B2" s="16">
        <v>19261</v>
      </c>
      <c r="C2" s="16">
        <v>11708</v>
      </c>
      <c r="D2" s="18">
        <v>0.60786044338300194</v>
      </c>
      <c r="E2" s="16">
        <v>159</v>
      </c>
      <c r="F2" s="18">
        <v>8.2550231036810136E-3</v>
      </c>
      <c r="G2" s="16">
        <v>411</v>
      </c>
      <c r="H2" s="18">
        <v>2.1338455947250923E-2</v>
      </c>
      <c r="I2" s="81">
        <v>12278</v>
      </c>
      <c r="J2" s="18">
        <v>0.63745392243393384</v>
      </c>
      <c r="K2" s="16">
        <v>1873</v>
      </c>
      <c r="L2" s="18">
        <v>9.7243133793676342E-2</v>
      </c>
      <c r="M2" s="16">
        <v>5110</v>
      </c>
      <c r="N2" s="18">
        <v>0.26530294377238978</v>
      </c>
    </row>
    <row r="3" spans="1:16" x14ac:dyDescent="0.2">
      <c r="A3" s="19" t="s">
        <v>45</v>
      </c>
      <c r="B3" s="16">
        <v>17783</v>
      </c>
      <c r="C3" s="16">
        <v>13320</v>
      </c>
      <c r="D3" s="18">
        <v>0.74902997244559411</v>
      </c>
      <c r="E3" s="16">
        <v>146</v>
      </c>
      <c r="F3" s="18">
        <v>8.2100882865658205E-3</v>
      </c>
      <c r="G3" s="16">
        <v>429</v>
      </c>
      <c r="H3" s="18">
        <v>2.4124163526963956E-2</v>
      </c>
      <c r="I3" s="81">
        <v>13895</v>
      </c>
      <c r="J3" s="18">
        <v>0.78136422425912389</v>
      </c>
      <c r="K3" s="16">
        <v>1390</v>
      </c>
      <c r="L3" s="18">
        <v>7.8164539166619806E-2</v>
      </c>
      <c r="M3" s="16">
        <v>2498</v>
      </c>
      <c r="N3" s="18">
        <v>0.14047123657425631</v>
      </c>
    </row>
    <row r="4" spans="1:16" x14ac:dyDescent="0.2">
      <c r="A4" s="19" t="s">
        <v>46</v>
      </c>
      <c r="B4" s="16">
        <v>9648</v>
      </c>
      <c r="C4" s="16">
        <v>7811</v>
      </c>
      <c r="D4" s="18">
        <v>0.80959784411276947</v>
      </c>
      <c r="E4" s="16">
        <v>122</v>
      </c>
      <c r="F4" s="18">
        <v>1.2645107794361525E-2</v>
      </c>
      <c r="G4" s="16">
        <v>197</v>
      </c>
      <c r="H4" s="18">
        <v>2.0418739635157546E-2</v>
      </c>
      <c r="I4" s="81">
        <v>8130</v>
      </c>
      <c r="J4" s="18">
        <v>0.84266169154228854</v>
      </c>
      <c r="K4" s="16">
        <v>659</v>
      </c>
      <c r="L4" s="18">
        <v>6.830431177446103E-2</v>
      </c>
      <c r="M4" s="16">
        <v>859</v>
      </c>
      <c r="N4" s="18">
        <v>8.9033996683250419E-2</v>
      </c>
      <c r="P4" s="26"/>
    </row>
    <row r="5" spans="1:16" x14ac:dyDescent="0.2">
      <c r="A5" s="19" t="s">
        <v>15</v>
      </c>
      <c r="B5" s="16">
        <v>55297</v>
      </c>
      <c r="C5" s="16">
        <v>39086</v>
      </c>
      <c r="D5" s="18">
        <v>0.70683762229415703</v>
      </c>
      <c r="E5" s="16">
        <v>726</v>
      </c>
      <c r="F5" s="18">
        <v>1.3129102844638949E-2</v>
      </c>
      <c r="G5" s="16">
        <v>725</v>
      </c>
      <c r="H5" s="18">
        <v>1.3111018680941101E-2</v>
      </c>
      <c r="I5" s="81">
        <v>40537</v>
      </c>
      <c r="J5" s="18">
        <v>0.733077743819737</v>
      </c>
      <c r="K5" s="16">
        <v>7211</v>
      </c>
      <c r="L5" s="18">
        <v>0.13040490442519487</v>
      </c>
      <c r="M5" s="16">
        <v>7549</v>
      </c>
      <c r="N5" s="18">
        <v>0.1365173517550681</v>
      </c>
      <c r="P5" s="26"/>
    </row>
    <row r="6" spans="1:16" x14ac:dyDescent="0.2">
      <c r="A6" s="19" t="s">
        <v>16</v>
      </c>
      <c r="B6" s="16">
        <v>19890</v>
      </c>
      <c r="C6" s="16">
        <v>16140</v>
      </c>
      <c r="D6" s="18">
        <v>0.81146304675716441</v>
      </c>
      <c r="E6" s="16">
        <v>299</v>
      </c>
      <c r="F6" s="18">
        <v>1.5032679738562092E-2</v>
      </c>
      <c r="G6" s="16">
        <v>269</v>
      </c>
      <c r="H6" s="18">
        <v>1.3524384112619407E-2</v>
      </c>
      <c r="I6" s="81">
        <v>16708</v>
      </c>
      <c r="J6" s="18">
        <v>0.84002011060834592</v>
      </c>
      <c r="K6" s="16">
        <v>1805</v>
      </c>
      <c r="L6" s="18">
        <v>9.0749120160884864E-2</v>
      </c>
      <c r="M6" s="16">
        <v>1377</v>
      </c>
      <c r="N6" s="18">
        <v>6.9230769230769235E-2</v>
      </c>
      <c r="P6" s="26"/>
    </row>
    <row r="7" spans="1:16" x14ac:dyDescent="0.2">
      <c r="A7" s="19" t="s">
        <v>17</v>
      </c>
      <c r="B7" s="16">
        <v>126909</v>
      </c>
      <c r="C7" s="16">
        <v>79051</v>
      </c>
      <c r="D7" s="18">
        <v>0.62289514534036194</v>
      </c>
      <c r="E7" s="16">
        <v>3386</v>
      </c>
      <c r="F7" s="18">
        <v>2.6680534871443319E-2</v>
      </c>
      <c r="G7" s="16">
        <v>2083</v>
      </c>
      <c r="H7" s="18">
        <v>1.6413335539638637E-2</v>
      </c>
      <c r="I7" s="81">
        <v>84520</v>
      </c>
      <c r="J7" s="18">
        <v>0.66598901575144398</v>
      </c>
      <c r="K7" s="16">
        <v>24331</v>
      </c>
      <c r="L7" s="18">
        <v>0.19172005137539497</v>
      </c>
      <c r="M7" s="16">
        <v>18058</v>
      </c>
      <c r="N7" s="18">
        <v>0.14229093287316108</v>
      </c>
      <c r="P7" s="26"/>
    </row>
    <row r="8" spans="1:16" x14ac:dyDescent="0.2">
      <c r="A8" s="19" t="s">
        <v>18</v>
      </c>
      <c r="B8" s="16">
        <v>18306</v>
      </c>
      <c r="C8" s="16">
        <v>11285</v>
      </c>
      <c r="D8" s="18">
        <v>0.61646454714301324</v>
      </c>
      <c r="E8" s="16">
        <v>141</v>
      </c>
      <c r="F8" s="18">
        <v>7.7023926581448708E-3</v>
      </c>
      <c r="G8" s="16">
        <v>241</v>
      </c>
      <c r="H8" s="18">
        <v>1.316508248661641E-2</v>
      </c>
      <c r="I8" s="81">
        <v>11667</v>
      </c>
      <c r="J8" s="18">
        <v>0.63733202228777452</v>
      </c>
      <c r="K8" s="16">
        <v>3034</v>
      </c>
      <c r="L8" s="18">
        <v>0.1657380093958265</v>
      </c>
      <c r="M8" s="16">
        <v>3605</v>
      </c>
      <c r="N8" s="18">
        <v>0.196929968316399</v>
      </c>
      <c r="P8" s="26"/>
    </row>
    <row r="9" spans="1:16" x14ac:dyDescent="0.2">
      <c r="A9" s="19" t="s">
        <v>19</v>
      </c>
      <c r="B9" s="16">
        <v>47263</v>
      </c>
      <c r="C9" s="16">
        <v>23433</v>
      </c>
      <c r="D9" s="18">
        <v>0.49580009732771935</v>
      </c>
      <c r="E9" s="16">
        <v>868</v>
      </c>
      <c r="F9" s="18">
        <v>1.8365317478788903E-2</v>
      </c>
      <c r="G9" s="16">
        <v>537</v>
      </c>
      <c r="H9" s="18">
        <v>1.1361953325011108E-2</v>
      </c>
      <c r="I9" s="81">
        <v>24838</v>
      </c>
      <c r="J9" s="18">
        <v>0.52552736813151935</v>
      </c>
      <c r="K9" s="16">
        <v>6069</v>
      </c>
      <c r="L9" s="18">
        <v>0.12840911495249985</v>
      </c>
      <c r="M9" s="16">
        <v>16356</v>
      </c>
      <c r="N9" s="18">
        <v>0.34606351691598081</v>
      </c>
      <c r="P9" s="26"/>
    </row>
    <row r="10" spans="1:16" x14ac:dyDescent="0.2">
      <c r="A10" s="19" t="s">
        <v>20</v>
      </c>
      <c r="B10" s="16">
        <v>33489</v>
      </c>
      <c r="C10" s="16">
        <v>23307</v>
      </c>
      <c r="D10" s="18">
        <v>0.69595986741915261</v>
      </c>
      <c r="E10" s="16">
        <v>511</v>
      </c>
      <c r="F10" s="18">
        <v>1.5258741676371345E-2</v>
      </c>
      <c r="G10" s="16">
        <v>792</v>
      </c>
      <c r="H10" s="18">
        <v>2.3649556570814297E-2</v>
      </c>
      <c r="I10" s="81">
        <v>24610</v>
      </c>
      <c r="J10" s="18">
        <v>0.73486816566633817</v>
      </c>
      <c r="K10" s="16">
        <v>2168</v>
      </c>
      <c r="L10" s="18">
        <v>6.4737675057481556E-2</v>
      </c>
      <c r="M10" s="16">
        <v>6711</v>
      </c>
      <c r="N10" s="18">
        <v>0.20039415927618023</v>
      </c>
      <c r="P10" s="26"/>
    </row>
    <row r="11" spans="1:16" x14ac:dyDescent="0.2">
      <c r="A11" s="19" t="s">
        <v>21</v>
      </c>
      <c r="B11" s="16">
        <v>38924</v>
      </c>
      <c r="C11" s="16">
        <v>24767</v>
      </c>
      <c r="D11" s="18">
        <v>0.63629123419997946</v>
      </c>
      <c r="E11" s="16">
        <v>1451</v>
      </c>
      <c r="F11" s="18">
        <v>3.7277772068646596E-2</v>
      </c>
      <c r="G11" s="16">
        <v>478</v>
      </c>
      <c r="H11" s="18">
        <v>1.2280341177679581E-2</v>
      </c>
      <c r="I11" s="81">
        <v>26696</v>
      </c>
      <c r="J11" s="18">
        <v>0.68584934744630566</v>
      </c>
      <c r="K11" s="16">
        <v>7662</v>
      </c>
      <c r="L11" s="18">
        <v>0.19684513410749152</v>
      </c>
      <c r="M11" s="16">
        <v>4566</v>
      </c>
      <c r="N11" s="18">
        <v>0.11730551844620285</v>
      </c>
      <c r="P11" s="26"/>
    </row>
    <row r="12" spans="1:16" x14ac:dyDescent="0.2">
      <c r="A12" s="19" t="s">
        <v>22</v>
      </c>
      <c r="B12" s="16">
        <v>40867</v>
      </c>
      <c r="C12" s="16">
        <v>29607</v>
      </c>
      <c r="D12" s="18">
        <v>0.72447206792766783</v>
      </c>
      <c r="E12" s="16">
        <v>693</v>
      </c>
      <c r="F12" s="18">
        <v>1.6957447329140871E-2</v>
      </c>
      <c r="G12" s="16">
        <v>1029</v>
      </c>
      <c r="H12" s="18">
        <v>2.5179239973572808E-2</v>
      </c>
      <c r="I12" s="81">
        <v>31329</v>
      </c>
      <c r="J12" s="18">
        <v>0.76660875523038152</v>
      </c>
      <c r="K12" s="16">
        <v>5086</v>
      </c>
      <c r="L12" s="18">
        <v>0.12445249223089534</v>
      </c>
      <c r="M12" s="16">
        <v>4452</v>
      </c>
      <c r="N12" s="18">
        <v>0.10893875253872318</v>
      </c>
      <c r="P12" s="26"/>
    </row>
    <row r="13" spans="1:16" x14ac:dyDescent="0.2">
      <c r="A13" s="19" t="s">
        <v>23</v>
      </c>
      <c r="B13" s="16">
        <v>5351</v>
      </c>
      <c r="C13" s="16">
        <v>4460</v>
      </c>
      <c r="D13" s="18">
        <v>0.8334890674640254</v>
      </c>
      <c r="E13" s="16">
        <v>40</v>
      </c>
      <c r="F13" s="18">
        <v>7.4752382732199592E-3</v>
      </c>
      <c r="G13" s="16">
        <v>31</v>
      </c>
      <c r="H13" s="18">
        <v>5.7933096617454683E-3</v>
      </c>
      <c r="I13" s="81">
        <v>4531</v>
      </c>
      <c r="J13" s="18">
        <v>0.84675761539899086</v>
      </c>
      <c r="K13" s="16">
        <v>205</v>
      </c>
      <c r="L13" s="18">
        <v>3.8310596150252292E-2</v>
      </c>
      <c r="M13" s="16">
        <v>615</v>
      </c>
      <c r="N13" s="18">
        <v>0.11493178845075687</v>
      </c>
      <c r="P13" s="26"/>
    </row>
    <row r="14" spans="1:16" x14ac:dyDescent="0.2">
      <c r="A14" s="19" t="s">
        <v>24</v>
      </c>
      <c r="B14" s="16">
        <v>26659</v>
      </c>
      <c r="C14" s="16">
        <v>17020</v>
      </c>
      <c r="D14" s="18">
        <v>0.63843354964552312</v>
      </c>
      <c r="E14" s="16">
        <v>508</v>
      </c>
      <c r="F14" s="18">
        <v>1.905547845005439E-2</v>
      </c>
      <c r="G14" s="16">
        <v>100</v>
      </c>
      <c r="H14" s="18">
        <v>3.7510784350500768E-3</v>
      </c>
      <c r="I14" s="81">
        <v>17628</v>
      </c>
      <c r="J14" s="18">
        <v>0.66124010653062759</v>
      </c>
      <c r="K14" s="16">
        <v>4987</v>
      </c>
      <c r="L14" s="18">
        <v>0.18706628155594734</v>
      </c>
      <c r="M14" s="16">
        <v>4044</v>
      </c>
      <c r="N14" s="18">
        <v>0.15169361191342512</v>
      </c>
      <c r="P14" s="26"/>
    </row>
    <row r="15" spans="1:16" x14ac:dyDescent="0.2">
      <c r="A15" s="19" t="s">
        <v>47</v>
      </c>
      <c r="B15" s="16">
        <v>17386</v>
      </c>
      <c r="C15" s="16">
        <v>10931</v>
      </c>
      <c r="D15" s="18">
        <v>0.62872426089957434</v>
      </c>
      <c r="E15" s="16">
        <v>719</v>
      </c>
      <c r="F15" s="18">
        <v>4.1355113309559419E-2</v>
      </c>
      <c r="G15" s="16">
        <v>556</v>
      </c>
      <c r="H15" s="18">
        <v>3.19797538249166E-2</v>
      </c>
      <c r="I15" s="81">
        <v>12206</v>
      </c>
      <c r="J15" s="18">
        <v>0.70205912803405035</v>
      </c>
      <c r="K15" s="16">
        <v>2109</v>
      </c>
      <c r="L15" s="18">
        <v>0.12130449787185091</v>
      </c>
      <c r="M15" s="16">
        <v>3071</v>
      </c>
      <c r="N15" s="18">
        <v>0.17663637409409871</v>
      </c>
      <c r="P15" s="26"/>
    </row>
    <row r="16" spans="1:16" x14ac:dyDescent="0.2">
      <c r="A16" s="19" t="s">
        <v>48</v>
      </c>
      <c r="B16" s="16">
        <v>8749</v>
      </c>
      <c r="C16" s="16">
        <v>7511</v>
      </c>
      <c r="D16" s="18">
        <v>0.8584981140701794</v>
      </c>
      <c r="E16" s="16">
        <v>13</v>
      </c>
      <c r="F16" s="18">
        <v>1.4858841010401188E-3</v>
      </c>
      <c r="G16" s="16">
        <v>157</v>
      </c>
      <c r="H16" s="18">
        <v>1.7944907989484511E-2</v>
      </c>
      <c r="I16" s="81">
        <v>7681</v>
      </c>
      <c r="J16" s="18">
        <v>0.87792890616070407</v>
      </c>
      <c r="K16" s="16">
        <v>579</v>
      </c>
      <c r="L16" s="18">
        <v>6.6178991884786834E-2</v>
      </c>
      <c r="M16" s="16">
        <v>489</v>
      </c>
      <c r="N16" s="18">
        <v>5.5892101954509089E-2</v>
      </c>
      <c r="P16" s="26"/>
    </row>
    <row r="17" spans="1:16" x14ac:dyDescent="0.2">
      <c r="A17" s="19" t="s">
        <v>27</v>
      </c>
      <c r="B17" s="16">
        <v>30021</v>
      </c>
      <c r="C17" s="16">
        <v>20916</v>
      </c>
      <c r="D17" s="18">
        <v>0.69671230138902773</v>
      </c>
      <c r="E17" s="16">
        <v>921</v>
      </c>
      <c r="F17" s="18">
        <v>3.0678525032477266E-2</v>
      </c>
      <c r="G17" s="16">
        <v>519</v>
      </c>
      <c r="H17" s="18">
        <v>1.7287898471070252E-2</v>
      </c>
      <c r="I17" s="81">
        <v>22356</v>
      </c>
      <c r="J17" s="18">
        <v>0.74467872489257525</v>
      </c>
      <c r="K17" s="16">
        <v>5136</v>
      </c>
      <c r="L17" s="18">
        <v>0.17108024382931947</v>
      </c>
      <c r="M17" s="16">
        <v>2529</v>
      </c>
      <c r="N17" s="18">
        <v>8.4241031278105324E-2</v>
      </c>
      <c r="P17" s="26"/>
    </row>
    <row r="18" spans="1:16" x14ac:dyDescent="0.2">
      <c r="A18" s="19" t="s">
        <v>28</v>
      </c>
      <c r="B18" s="16">
        <v>54161</v>
      </c>
      <c r="C18" s="16">
        <v>35314</v>
      </c>
      <c r="D18" s="18">
        <v>0.6520189804471852</v>
      </c>
      <c r="E18" s="16">
        <v>2749</v>
      </c>
      <c r="F18" s="18">
        <v>5.0756079097505583E-2</v>
      </c>
      <c r="G18" s="16">
        <v>644</v>
      </c>
      <c r="H18" s="18">
        <v>1.1890474695814331E-2</v>
      </c>
      <c r="I18" s="81">
        <v>38707</v>
      </c>
      <c r="J18" s="18">
        <v>0.71466553424050516</v>
      </c>
      <c r="K18" s="16">
        <v>8537</v>
      </c>
      <c r="L18" s="18">
        <v>0.15762264359963812</v>
      </c>
      <c r="M18" s="16">
        <v>6917</v>
      </c>
      <c r="N18" s="18">
        <v>0.12771182215985671</v>
      </c>
      <c r="P18" s="26"/>
    </row>
    <row r="19" spans="1:16" x14ac:dyDescent="0.2">
      <c r="A19" s="19" t="s">
        <v>29</v>
      </c>
      <c r="B19" s="16">
        <v>36772</v>
      </c>
      <c r="C19" s="16">
        <v>31465</v>
      </c>
      <c r="D19" s="18">
        <v>0.85567823343848581</v>
      </c>
      <c r="E19" s="16">
        <v>559</v>
      </c>
      <c r="F19" s="18">
        <v>1.5201783966061134E-2</v>
      </c>
      <c r="G19" s="16">
        <v>309</v>
      </c>
      <c r="H19" s="18">
        <v>8.4031328184488198E-3</v>
      </c>
      <c r="I19" s="81">
        <v>32333</v>
      </c>
      <c r="J19" s="18">
        <v>0.87928315022299575</v>
      </c>
      <c r="K19" s="16">
        <v>2503</v>
      </c>
      <c r="L19" s="18">
        <v>6.8068095289894479E-2</v>
      </c>
      <c r="M19" s="16">
        <v>1936</v>
      </c>
      <c r="N19" s="18">
        <v>5.2648754487109754E-2</v>
      </c>
      <c r="P19" s="26"/>
    </row>
    <row r="20" spans="1:16" x14ac:dyDescent="0.2">
      <c r="A20" s="19" t="s">
        <v>30</v>
      </c>
      <c r="B20" s="16">
        <v>4403</v>
      </c>
      <c r="C20" s="16">
        <v>3734</v>
      </c>
      <c r="D20" s="18">
        <v>0.84805814217578923</v>
      </c>
      <c r="E20" s="16">
        <v>2</v>
      </c>
      <c r="F20" s="18">
        <v>4.5423574835339541E-4</v>
      </c>
      <c r="G20" s="16">
        <v>65</v>
      </c>
      <c r="H20" s="18">
        <v>1.476266182148535E-2</v>
      </c>
      <c r="I20" s="81">
        <v>3801</v>
      </c>
      <c r="J20" s="18">
        <v>0.86327503974562803</v>
      </c>
      <c r="K20" s="16">
        <v>209</v>
      </c>
      <c r="L20" s="18">
        <v>4.746763570292982E-2</v>
      </c>
      <c r="M20" s="16">
        <v>393</v>
      </c>
      <c r="N20" s="18">
        <v>8.9257324551442196E-2</v>
      </c>
      <c r="P20" s="26"/>
    </row>
    <row r="21" spans="1:16" x14ac:dyDescent="0.2">
      <c r="A21" s="19" t="s">
        <v>49</v>
      </c>
      <c r="B21" s="16">
        <v>32571</v>
      </c>
      <c r="C21" s="16">
        <v>24144</v>
      </c>
      <c r="D21" s="18">
        <v>0.74127291148567742</v>
      </c>
      <c r="E21" s="16">
        <v>748</v>
      </c>
      <c r="F21" s="18">
        <v>2.2965214454576156E-2</v>
      </c>
      <c r="G21" s="16">
        <v>426</v>
      </c>
      <c r="H21" s="18">
        <v>1.3079119462098186E-2</v>
      </c>
      <c r="I21" s="81">
        <v>25318</v>
      </c>
      <c r="J21" s="18">
        <v>0.77731724540235181</v>
      </c>
      <c r="K21" s="16">
        <v>4155</v>
      </c>
      <c r="L21" s="18">
        <v>0.12756746799299989</v>
      </c>
      <c r="M21" s="16">
        <v>3098</v>
      </c>
      <c r="N21" s="18">
        <v>9.5115286604648311E-2</v>
      </c>
      <c r="P21" s="26"/>
    </row>
    <row r="22" spans="1:16" x14ac:dyDescent="0.2">
      <c r="A22" s="19" t="s">
        <v>50</v>
      </c>
      <c r="B22" s="16">
        <v>6619</v>
      </c>
      <c r="C22" s="16">
        <v>4751</v>
      </c>
      <c r="D22" s="18">
        <v>0.71778214231757065</v>
      </c>
      <c r="E22" s="16">
        <v>139</v>
      </c>
      <c r="F22" s="18">
        <v>2.10001510802236E-2</v>
      </c>
      <c r="G22" s="16">
        <v>60</v>
      </c>
      <c r="H22" s="18">
        <v>9.0648134159238558E-3</v>
      </c>
      <c r="I22" s="81">
        <v>4950</v>
      </c>
      <c r="J22" s="18">
        <v>0.74784710681371813</v>
      </c>
      <c r="K22" s="16">
        <v>647</v>
      </c>
      <c r="L22" s="18">
        <v>9.7748904668378905E-2</v>
      </c>
      <c r="M22" s="16">
        <v>1022</v>
      </c>
      <c r="N22" s="18">
        <v>0.15440398851790302</v>
      </c>
      <c r="P22" s="26"/>
    </row>
    <row r="23" spans="1:16" x14ac:dyDescent="0.2">
      <c r="A23" s="19" t="s">
        <v>33</v>
      </c>
      <c r="B23" s="16">
        <v>33526</v>
      </c>
      <c r="C23" s="16">
        <v>24700</v>
      </c>
      <c r="D23" s="18">
        <v>0.73674163335918397</v>
      </c>
      <c r="E23" s="16">
        <v>388</v>
      </c>
      <c r="F23" s="18">
        <v>1.1573107439002564E-2</v>
      </c>
      <c r="G23" s="16">
        <v>486</v>
      </c>
      <c r="H23" s="18">
        <v>1.449621189524548E-2</v>
      </c>
      <c r="I23" s="81">
        <v>25574</v>
      </c>
      <c r="J23" s="18">
        <v>0.76281095269343191</v>
      </c>
      <c r="K23" s="16">
        <v>5293</v>
      </c>
      <c r="L23" s="18">
        <v>0.15787746823360974</v>
      </c>
      <c r="M23" s="16">
        <v>2659</v>
      </c>
      <c r="N23" s="18">
        <v>7.9311579072958299E-2</v>
      </c>
      <c r="P23" s="26"/>
    </row>
    <row r="24" spans="1:16" x14ac:dyDescent="0.2">
      <c r="P24" s="26"/>
    </row>
    <row r="25" spans="1:16" x14ac:dyDescent="0.2">
      <c r="P25" s="26"/>
    </row>
    <row r="26" spans="1:16" x14ac:dyDescent="0.2">
      <c r="P26" s="26"/>
    </row>
    <row r="27" spans="1:16" x14ac:dyDescent="0.2">
      <c r="P27" s="26"/>
    </row>
    <row r="28" spans="1:16" x14ac:dyDescent="0.2">
      <c r="P28" s="26"/>
    </row>
    <row r="29" spans="1:16" x14ac:dyDescent="0.2">
      <c r="F29" s="36"/>
      <c r="H29" s="36"/>
      <c r="I29" s="36"/>
      <c r="J29" s="36"/>
    </row>
    <row r="30" spans="1:16" x14ac:dyDescent="0.2">
      <c r="A30" s="21" t="s">
        <v>34</v>
      </c>
    </row>
    <row r="31" spans="1:16" x14ac:dyDescent="0.2">
      <c r="A31" s="22" t="s">
        <v>74</v>
      </c>
    </row>
    <row r="32" spans="1:16" x14ac:dyDescent="0.2">
      <c r="A32" s="22" t="s">
        <v>75</v>
      </c>
    </row>
    <row r="33" spans="1:1" x14ac:dyDescent="0.2">
      <c r="A33" s="22" t="s">
        <v>76</v>
      </c>
    </row>
    <row r="34" spans="1:1" x14ac:dyDescent="0.2">
      <c r="A34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9D08E"/>
  </sheetPr>
  <dimension ref="A1:N33"/>
  <sheetViews>
    <sheetView workbookViewId="0">
      <pane xSplit="1" topLeftCell="C1" activePane="topRight" state="frozen"/>
      <selection activeCell="A4" sqref="A4"/>
      <selection pane="topRight" sqref="A1:L23"/>
    </sheetView>
  </sheetViews>
  <sheetFormatPr baseColWidth="10" defaultColWidth="8.83203125" defaultRowHeight="15" x14ac:dyDescent="0.2"/>
  <cols>
    <col min="1" max="1" width="27.33203125" customWidth="1"/>
    <col min="2" max="2" width="11.83203125" hidden="1" customWidth="1"/>
    <col min="3" max="3" width="11.83203125" bestFit="1" customWidth="1"/>
    <col min="4" max="4" width="11.1640625" customWidth="1"/>
    <col min="5" max="6" width="13.5" customWidth="1"/>
    <col min="7" max="8" width="15.5" customWidth="1"/>
    <col min="9" max="10" width="11.5" customWidth="1"/>
    <col min="11" max="11" width="9.83203125" bestFit="1" customWidth="1"/>
    <col min="12" max="12" width="11.5" bestFit="1" customWidth="1"/>
  </cols>
  <sheetData>
    <row r="1" spans="1:14" ht="48" x14ac:dyDescent="0.2">
      <c r="A1" s="14" t="s">
        <v>275</v>
      </c>
      <c r="B1" s="119" t="s">
        <v>77</v>
      </c>
      <c r="C1" s="119" t="s">
        <v>78</v>
      </c>
      <c r="D1" s="119" t="s">
        <v>3</v>
      </c>
      <c r="E1" s="119" t="s">
        <v>79</v>
      </c>
      <c r="F1" s="119" t="s">
        <v>3</v>
      </c>
      <c r="G1" s="119" t="s">
        <v>80</v>
      </c>
      <c r="H1" s="119" t="s">
        <v>3</v>
      </c>
      <c r="I1" s="119" t="s">
        <v>81</v>
      </c>
      <c r="J1" s="119" t="s">
        <v>3</v>
      </c>
      <c r="K1" s="119" t="s">
        <v>82</v>
      </c>
      <c r="L1" s="121" t="s">
        <v>3</v>
      </c>
    </row>
    <row r="2" spans="1:14" x14ac:dyDescent="0.2">
      <c r="A2" s="76" t="s">
        <v>12</v>
      </c>
      <c r="B2" s="82">
        <v>19240</v>
      </c>
      <c r="C2" s="82">
        <v>11775</v>
      </c>
      <c r="D2" s="87">
        <v>0.61200623700623702</v>
      </c>
      <c r="E2" s="82">
        <v>2088</v>
      </c>
      <c r="F2" s="87">
        <v>0.10852390852390853</v>
      </c>
      <c r="G2" s="82">
        <v>1255</v>
      </c>
      <c r="H2" s="87">
        <v>6.5228690228690225E-2</v>
      </c>
      <c r="I2" s="82">
        <v>2663</v>
      </c>
      <c r="J2" s="87">
        <v>0.1384095634095634</v>
      </c>
      <c r="K2" s="82">
        <v>1459</v>
      </c>
      <c r="L2" s="87">
        <v>7.5831600831600829E-2</v>
      </c>
    </row>
    <row r="3" spans="1:14" x14ac:dyDescent="0.2">
      <c r="A3" s="76" t="s">
        <v>45</v>
      </c>
      <c r="B3" s="82">
        <v>17659</v>
      </c>
      <c r="C3" s="82">
        <v>12449</v>
      </c>
      <c r="D3" s="87">
        <v>0.70496630613285005</v>
      </c>
      <c r="E3" s="82">
        <v>1947</v>
      </c>
      <c r="F3" s="87">
        <v>0.11025539385016139</v>
      </c>
      <c r="G3" s="82">
        <v>967</v>
      </c>
      <c r="H3" s="87">
        <v>5.4759612662098646E-2</v>
      </c>
      <c r="I3" s="82">
        <v>1648</v>
      </c>
      <c r="J3" s="87">
        <v>9.332351775298714E-2</v>
      </c>
      <c r="K3" s="82">
        <v>648</v>
      </c>
      <c r="L3" s="87">
        <v>3.6695169601902715E-2</v>
      </c>
    </row>
    <row r="4" spans="1:14" x14ac:dyDescent="0.2">
      <c r="A4" s="76" t="s">
        <v>46</v>
      </c>
      <c r="B4" s="82">
        <v>9629</v>
      </c>
      <c r="C4" s="82">
        <v>6675</v>
      </c>
      <c r="D4" s="87">
        <v>0.69321840274171775</v>
      </c>
      <c r="E4" s="82">
        <v>1116</v>
      </c>
      <c r="F4" s="87">
        <v>0.11589988576176134</v>
      </c>
      <c r="G4" s="82">
        <v>613</v>
      </c>
      <c r="H4" s="87">
        <v>6.3661854813583968E-2</v>
      </c>
      <c r="I4" s="82">
        <v>846</v>
      </c>
      <c r="J4" s="87">
        <v>8.785959081939973E-2</v>
      </c>
      <c r="K4" s="82">
        <v>379</v>
      </c>
      <c r="L4" s="87">
        <v>3.9360265863537233E-2</v>
      </c>
      <c r="N4" s="26"/>
    </row>
    <row r="5" spans="1:14" x14ac:dyDescent="0.2">
      <c r="A5" s="76" t="s">
        <v>15</v>
      </c>
      <c r="B5" s="82">
        <v>54937</v>
      </c>
      <c r="C5" s="82">
        <v>39938</v>
      </c>
      <c r="D5" s="87">
        <v>0.72697817500045503</v>
      </c>
      <c r="E5" s="82">
        <v>5278</v>
      </c>
      <c r="F5" s="87">
        <v>9.6073684402133347E-2</v>
      </c>
      <c r="G5" s="82">
        <v>5031</v>
      </c>
      <c r="H5" s="87">
        <v>9.1577625279866029E-2</v>
      </c>
      <c r="I5" s="82">
        <v>3287</v>
      </c>
      <c r="J5" s="87">
        <v>5.9832171396326704E-2</v>
      </c>
      <c r="K5" s="82">
        <v>1403</v>
      </c>
      <c r="L5" s="87">
        <v>2.5538343921218849E-2</v>
      </c>
      <c r="N5" s="26"/>
    </row>
    <row r="6" spans="1:14" x14ac:dyDescent="0.2">
      <c r="A6" s="76" t="s">
        <v>16</v>
      </c>
      <c r="B6" s="82">
        <v>19401</v>
      </c>
      <c r="C6" s="82">
        <v>16529</v>
      </c>
      <c r="D6" s="87">
        <v>0.85196639348487191</v>
      </c>
      <c r="E6" s="82">
        <v>1526</v>
      </c>
      <c r="F6" s="87">
        <v>7.865573939487655E-2</v>
      </c>
      <c r="G6" s="82">
        <v>694</v>
      </c>
      <c r="H6" s="87">
        <v>3.577135199216535E-2</v>
      </c>
      <c r="I6" s="82">
        <v>535</v>
      </c>
      <c r="J6" s="87">
        <v>2.7575898149579919E-2</v>
      </c>
      <c r="K6" s="82">
        <v>117</v>
      </c>
      <c r="L6" s="87">
        <v>6.0306169785062629E-3</v>
      </c>
      <c r="N6" s="26"/>
    </row>
    <row r="7" spans="1:14" x14ac:dyDescent="0.2">
      <c r="A7" s="76" t="s">
        <v>17</v>
      </c>
      <c r="B7" s="82">
        <v>125045</v>
      </c>
      <c r="C7" s="82">
        <v>107377</v>
      </c>
      <c r="D7" s="87">
        <v>0.8587068655284098</v>
      </c>
      <c r="E7" s="82">
        <v>11138</v>
      </c>
      <c r="F7" s="87">
        <v>8.9071934103722661E-2</v>
      </c>
      <c r="G7" s="82">
        <v>3466</v>
      </c>
      <c r="H7" s="87">
        <v>2.7718021512255588E-2</v>
      </c>
      <c r="I7" s="82">
        <v>1658</v>
      </c>
      <c r="J7" s="87">
        <v>1.3259226678395778E-2</v>
      </c>
      <c r="K7" s="82">
        <v>1406</v>
      </c>
      <c r="L7" s="87">
        <v>1.1243952177216202E-2</v>
      </c>
      <c r="N7" s="26"/>
    </row>
    <row r="8" spans="1:14" x14ac:dyDescent="0.2">
      <c r="A8" s="76" t="s">
        <v>18</v>
      </c>
      <c r="B8" s="82">
        <v>18189</v>
      </c>
      <c r="C8" s="82">
        <v>12666</v>
      </c>
      <c r="D8" s="87">
        <v>0.69635493979877949</v>
      </c>
      <c r="E8" s="82">
        <v>1579</v>
      </c>
      <c r="F8" s="87">
        <v>8.681070976964099E-2</v>
      </c>
      <c r="G8" s="82">
        <v>1251</v>
      </c>
      <c r="H8" s="87">
        <v>6.8777832756061349E-2</v>
      </c>
      <c r="I8" s="82">
        <v>2040</v>
      </c>
      <c r="J8" s="87">
        <v>0.11215569849909286</v>
      </c>
      <c r="K8" s="82">
        <v>653</v>
      </c>
      <c r="L8" s="87">
        <v>3.5900819176425312E-2</v>
      </c>
      <c r="N8" s="26"/>
    </row>
    <row r="9" spans="1:14" x14ac:dyDescent="0.2">
      <c r="A9" s="76" t="s">
        <v>19</v>
      </c>
      <c r="B9" s="82">
        <v>46868</v>
      </c>
      <c r="C9" s="82">
        <v>38545</v>
      </c>
      <c r="D9" s="87">
        <v>0.82241614747802338</v>
      </c>
      <c r="E9" s="82">
        <v>5302</v>
      </c>
      <c r="F9" s="87">
        <v>0.11312622684987625</v>
      </c>
      <c r="G9" s="82">
        <v>1395</v>
      </c>
      <c r="H9" s="87">
        <v>2.9764444823760349E-2</v>
      </c>
      <c r="I9" s="82">
        <v>989</v>
      </c>
      <c r="J9" s="87">
        <v>2.1101817871468805E-2</v>
      </c>
      <c r="K9" s="82">
        <v>637</v>
      </c>
      <c r="L9" s="87">
        <v>1.3591362976871213E-2</v>
      </c>
      <c r="N9" s="26"/>
    </row>
    <row r="10" spans="1:14" x14ac:dyDescent="0.2">
      <c r="A10" s="76" t="s">
        <v>20</v>
      </c>
      <c r="B10" s="82">
        <v>33450</v>
      </c>
      <c r="C10" s="82">
        <v>19349</v>
      </c>
      <c r="D10" s="87">
        <v>0.57844544095665174</v>
      </c>
      <c r="E10" s="82">
        <v>4637</v>
      </c>
      <c r="F10" s="87">
        <v>0.13862481315396114</v>
      </c>
      <c r="G10" s="82">
        <v>2219</v>
      </c>
      <c r="H10" s="87">
        <v>6.6337817638266072E-2</v>
      </c>
      <c r="I10" s="82">
        <v>4646</v>
      </c>
      <c r="J10" s="87">
        <v>0.13889387144992527</v>
      </c>
      <c r="K10" s="82">
        <v>2599</v>
      </c>
      <c r="L10" s="87">
        <v>7.7698056801195819E-2</v>
      </c>
      <c r="N10" s="26"/>
    </row>
    <row r="11" spans="1:14" x14ac:dyDescent="0.2">
      <c r="A11" s="76" t="s">
        <v>21</v>
      </c>
      <c r="B11" s="82">
        <v>38453</v>
      </c>
      <c r="C11" s="82">
        <v>35159</v>
      </c>
      <c r="D11" s="87">
        <v>0.91433698281018383</v>
      </c>
      <c r="E11" s="82">
        <v>1980</v>
      </c>
      <c r="F11" s="87">
        <v>5.149143109770369E-2</v>
      </c>
      <c r="G11" s="82">
        <v>582</v>
      </c>
      <c r="H11" s="87">
        <v>1.5135360049931084E-2</v>
      </c>
      <c r="I11" s="82">
        <v>545</v>
      </c>
      <c r="J11" s="87">
        <v>1.417314643850935E-2</v>
      </c>
      <c r="K11" s="82">
        <v>187</v>
      </c>
      <c r="L11" s="87">
        <v>4.8630796036720153E-3</v>
      </c>
      <c r="N11" s="26"/>
    </row>
    <row r="12" spans="1:14" x14ac:dyDescent="0.2">
      <c r="A12" s="76" t="s">
        <v>22</v>
      </c>
      <c r="B12" s="82">
        <v>40277</v>
      </c>
      <c r="C12" s="82">
        <v>33179</v>
      </c>
      <c r="D12" s="87">
        <v>0.82377039004891128</v>
      </c>
      <c r="E12" s="82">
        <v>3611</v>
      </c>
      <c r="F12" s="87">
        <v>8.9654145045559505E-2</v>
      </c>
      <c r="G12" s="82">
        <v>1256</v>
      </c>
      <c r="H12" s="87">
        <v>3.1184050450629393E-2</v>
      </c>
      <c r="I12" s="82">
        <v>1869</v>
      </c>
      <c r="J12" s="87">
        <v>4.6403654691263001E-2</v>
      </c>
      <c r="K12" s="82">
        <v>362</v>
      </c>
      <c r="L12" s="87">
        <v>8.9877597636368149E-3</v>
      </c>
      <c r="N12" s="26"/>
    </row>
    <row r="13" spans="1:14" x14ac:dyDescent="0.2">
      <c r="A13" s="76" t="s">
        <v>23</v>
      </c>
      <c r="B13" s="82">
        <v>5347</v>
      </c>
      <c r="C13" s="82">
        <v>3323</v>
      </c>
      <c r="D13" s="87">
        <v>0.62146998316813162</v>
      </c>
      <c r="E13" s="82">
        <v>246</v>
      </c>
      <c r="F13" s="87">
        <v>4.6007106788853565E-2</v>
      </c>
      <c r="G13" s="82">
        <v>567</v>
      </c>
      <c r="H13" s="87">
        <v>0.10604077052552834</v>
      </c>
      <c r="I13" s="82">
        <v>921</v>
      </c>
      <c r="J13" s="87">
        <v>0.17224611931924444</v>
      </c>
      <c r="K13" s="82">
        <v>290</v>
      </c>
      <c r="L13" s="87">
        <v>5.4236020198242002E-2</v>
      </c>
      <c r="N13" s="26"/>
    </row>
    <row r="14" spans="1:14" x14ac:dyDescent="0.2">
      <c r="A14" s="76" t="s">
        <v>24</v>
      </c>
      <c r="B14" s="82">
        <v>26136</v>
      </c>
      <c r="C14" s="82">
        <v>22208</v>
      </c>
      <c r="D14" s="87">
        <v>0.84970921334557703</v>
      </c>
      <c r="E14" s="82">
        <v>2390</v>
      </c>
      <c r="F14" s="87">
        <v>9.1444750535659633E-2</v>
      </c>
      <c r="G14" s="82">
        <v>937</v>
      </c>
      <c r="H14" s="87">
        <v>3.5850933578206304E-2</v>
      </c>
      <c r="I14" s="82">
        <v>290</v>
      </c>
      <c r="J14" s="87">
        <v>1.1095806550352005E-2</v>
      </c>
      <c r="K14" s="82">
        <v>311</v>
      </c>
      <c r="L14" s="87">
        <v>1.1899295990205082E-2</v>
      </c>
      <c r="N14" s="26"/>
    </row>
    <row r="15" spans="1:14" x14ac:dyDescent="0.2">
      <c r="A15" s="76" t="s">
        <v>47</v>
      </c>
      <c r="B15" s="82">
        <v>17306</v>
      </c>
      <c r="C15" s="82">
        <v>11465</v>
      </c>
      <c r="D15" s="87">
        <v>0.6624869987287646</v>
      </c>
      <c r="E15" s="82">
        <v>2699</v>
      </c>
      <c r="F15" s="87">
        <v>0.15595747139720328</v>
      </c>
      <c r="G15" s="82">
        <v>949</v>
      </c>
      <c r="H15" s="87">
        <v>5.48364728995724E-2</v>
      </c>
      <c r="I15" s="82">
        <v>1223</v>
      </c>
      <c r="J15" s="87">
        <v>7.0669132092915754E-2</v>
      </c>
      <c r="K15" s="82">
        <v>970</v>
      </c>
      <c r="L15" s="87">
        <v>5.6049924881543971E-2</v>
      </c>
      <c r="N15" s="26"/>
    </row>
    <row r="16" spans="1:14" x14ac:dyDescent="0.2">
      <c r="A16" s="76" t="s">
        <v>48</v>
      </c>
      <c r="B16" s="82">
        <v>8715</v>
      </c>
      <c r="C16" s="82">
        <v>5966</v>
      </c>
      <c r="D16" s="87">
        <v>0.68456683878370628</v>
      </c>
      <c r="E16" s="82">
        <v>1427</v>
      </c>
      <c r="F16" s="87">
        <v>0.16374067699368905</v>
      </c>
      <c r="G16" s="82">
        <v>669</v>
      </c>
      <c r="H16" s="87">
        <v>7.6764199655765919E-2</v>
      </c>
      <c r="I16" s="82">
        <v>512</v>
      </c>
      <c r="J16" s="87">
        <v>5.8749282845668389E-2</v>
      </c>
      <c r="K16" s="82">
        <v>141</v>
      </c>
      <c r="L16" s="87">
        <v>1.6179001721170396E-2</v>
      </c>
      <c r="N16" s="26"/>
    </row>
    <row r="17" spans="1:14" x14ac:dyDescent="0.2">
      <c r="A17" s="76" t="s">
        <v>27</v>
      </c>
      <c r="B17" s="82">
        <v>29631</v>
      </c>
      <c r="C17" s="82">
        <v>26005</v>
      </c>
      <c r="D17" s="87">
        <v>0.87762815969761399</v>
      </c>
      <c r="E17" s="82">
        <v>2136</v>
      </c>
      <c r="F17" s="87">
        <v>7.2086665991697885E-2</v>
      </c>
      <c r="G17" s="82">
        <v>756</v>
      </c>
      <c r="H17" s="87">
        <v>2.5513819985825654E-2</v>
      </c>
      <c r="I17" s="82">
        <v>520</v>
      </c>
      <c r="J17" s="87">
        <v>1.7549188350038811E-2</v>
      </c>
      <c r="K17" s="82">
        <v>214</v>
      </c>
      <c r="L17" s="87">
        <v>7.2221659748236645E-3</v>
      </c>
      <c r="N17" s="26"/>
    </row>
    <row r="18" spans="1:14" x14ac:dyDescent="0.2">
      <c r="A18" s="76" t="s">
        <v>28</v>
      </c>
      <c r="B18" s="82">
        <v>53578</v>
      </c>
      <c r="C18" s="82">
        <v>47617</v>
      </c>
      <c r="D18" s="87">
        <v>0.88874164769121655</v>
      </c>
      <c r="E18" s="82">
        <v>3178</v>
      </c>
      <c r="F18" s="87">
        <v>5.9315390645414162E-2</v>
      </c>
      <c r="G18" s="82">
        <v>1245</v>
      </c>
      <c r="H18" s="87">
        <v>2.3237149576318637E-2</v>
      </c>
      <c r="I18" s="82">
        <v>1009</v>
      </c>
      <c r="J18" s="87">
        <v>1.8832356564261452E-2</v>
      </c>
      <c r="K18" s="82">
        <v>529</v>
      </c>
      <c r="L18" s="87">
        <v>9.873455522789204E-3</v>
      </c>
      <c r="N18" s="26"/>
    </row>
    <row r="19" spans="1:14" x14ac:dyDescent="0.2">
      <c r="A19" s="76" t="s">
        <v>29</v>
      </c>
      <c r="B19" s="82">
        <v>36192</v>
      </c>
      <c r="C19" s="82">
        <v>29726</v>
      </c>
      <c r="D19" s="87">
        <v>0.82134173297966406</v>
      </c>
      <c r="E19" s="82">
        <v>3836</v>
      </c>
      <c r="F19" s="87">
        <v>0.10599027409372237</v>
      </c>
      <c r="G19" s="82">
        <v>1777</v>
      </c>
      <c r="H19" s="87">
        <v>4.9099248452696725E-2</v>
      </c>
      <c r="I19" s="82">
        <v>796</v>
      </c>
      <c r="J19" s="87">
        <v>2.1993810786914234E-2</v>
      </c>
      <c r="K19" s="82">
        <v>57</v>
      </c>
      <c r="L19" s="87">
        <v>1.5749336870026526E-3</v>
      </c>
      <c r="N19" s="26"/>
    </row>
    <row r="20" spans="1:14" x14ac:dyDescent="0.2">
      <c r="A20" s="76" t="s">
        <v>30</v>
      </c>
      <c r="B20" s="82">
        <v>4317</v>
      </c>
      <c r="C20" s="82">
        <v>3064</v>
      </c>
      <c r="D20" s="87">
        <v>0.70975214269168407</v>
      </c>
      <c r="E20" s="82">
        <v>434</v>
      </c>
      <c r="F20" s="87">
        <v>0.1005327773917072</v>
      </c>
      <c r="G20" s="82">
        <v>411</v>
      </c>
      <c r="H20" s="87">
        <v>9.5205003474635161E-2</v>
      </c>
      <c r="I20" s="82">
        <v>365</v>
      </c>
      <c r="J20" s="87">
        <v>8.4549455640491086E-2</v>
      </c>
      <c r="K20" s="82">
        <v>43</v>
      </c>
      <c r="L20" s="87">
        <v>9.9606208014825105E-3</v>
      </c>
      <c r="N20" s="26"/>
    </row>
    <row r="21" spans="1:14" x14ac:dyDescent="0.2">
      <c r="A21" s="76" t="s">
        <v>49</v>
      </c>
      <c r="B21" s="82">
        <v>32187</v>
      </c>
      <c r="C21" s="82">
        <v>25563</v>
      </c>
      <c r="D21" s="87">
        <v>0.79420262839034395</v>
      </c>
      <c r="E21" s="82">
        <v>3213</v>
      </c>
      <c r="F21" s="87">
        <v>9.9822909870444593E-2</v>
      </c>
      <c r="G21" s="82">
        <v>1432</v>
      </c>
      <c r="H21" s="87">
        <v>4.4490011495324201E-2</v>
      </c>
      <c r="I21" s="82">
        <v>1403</v>
      </c>
      <c r="J21" s="87">
        <v>4.3589026625656321E-2</v>
      </c>
      <c r="K21" s="82">
        <v>576</v>
      </c>
      <c r="L21" s="87">
        <v>1.7895423618230964E-2</v>
      </c>
      <c r="N21" s="26"/>
    </row>
    <row r="22" spans="1:14" x14ac:dyDescent="0.2">
      <c r="A22" s="76" t="s">
        <v>50</v>
      </c>
      <c r="B22" s="82">
        <v>6554</v>
      </c>
      <c r="C22" s="82">
        <v>4554</v>
      </c>
      <c r="D22" s="87">
        <v>0.69484284406469332</v>
      </c>
      <c r="E22" s="82">
        <v>862</v>
      </c>
      <c r="F22" s="87">
        <v>0.13152273420811719</v>
      </c>
      <c r="G22" s="82">
        <v>405</v>
      </c>
      <c r="H22" s="87">
        <v>6.1794324076899602E-2</v>
      </c>
      <c r="I22" s="82">
        <v>589</v>
      </c>
      <c r="J22" s="87">
        <v>8.9868782422947824E-2</v>
      </c>
      <c r="K22" s="82">
        <v>144</v>
      </c>
      <c r="L22" s="87">
        <v>2.1971315227342081E-2</v>
      </c>
      <c r="N22" s="26"/>
    </row>
    <row r="23" spans="1:14" x14ac:dyDescent="0.2">
      <c r="A23" s="76" t="s">
        <v>33</v>
      </c>
      <c r="B23" s="82">
        <v>33135</v>
      </c>
      <c r="C23" s="82">
        <v>29621</v>
      </c>
      <c r="D23" s="87">
        <v>0.89394899652934967</v>
      </c>
      <c r="E23" s="82">
        <v>1751</v>
      </c>
      <c r="F23" s="87">
        <v>5.2844424324732159E-2</v>
      </c>
      <c r="G23" s="82">
        <v>1140</v>
      </c>
      <c r="H23" s="87">
        <v>3.4404708012675415E-2</v>
      </c>
      <c r="I23" s="82">
        <v>338</v>
      </c>
      <c r="J23" s="87">
        <v>1.0200694130073939E-2</v>
      </c>
      <c r="K23" s="82">
        <v>285</v>
      </c>
      <c r="L23" s="87">
        <v>8.6011770031688538E-3</v>
      </c>
      <c r="N23" s="26"/>
    </row>
    <row r="24" spans="1:14" x14ac:dyDescent="0.2">
      <c r="N24" s="26"/>
    </row>
    <row r="25" spans="1:14" x14ac:dyDescent="0.2">
      <c r="N25" s="26"/>
    </row>
    <row r="26" spans="1:14" x14ac:dyDescent="0.2">
      <c r="N26" s="26"/>
    </row>
    <row r="27" spans="1:14" x14ac:dyDescent="0.2">
      <c r="N27" s="26"/>
    </row>
    <row r="28" spans="1:14" x14ac:dyDescent="0.2">
      <c r="N28" s="26"/>
    </row>
    <row r="30" spans="1:14" x14ac:dyDescent="0.2">
      <c r="A30" t="s">
        <v>34</v>
      </c>
    </row>
    <row r="31" spans="1:14" x14ac:dyDescent="0.2">
      <c r="A31" t="s">
        <v>83</v>
      </c>
    </row>
    <row r="32" spans="1:14" x14ac:dyDescent="0.2">
      <c r="A32" t="s">
        <v>84</v>
      </c>
    </row>
    <row r="33" spans="1:1" x14ac:dyDescent="0.2">
      <c r="A33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A9D08E"/>
  </sheetPr>
  <dimension ref="A1:AD34"/>
  <sheetViews>
    <sheetView workbookViewId="0">
      <pane xSplit="1" topLeftCell="C1" activePane="topRight" state="frozen"/>
      <selection pane="topRight" sqref="A1:AC23"/>
    </sheetView>
  </sheetViews>
  <sheetFormatPr baseColWidth="10" defaultColWidth="8.83203125" defaultRowHeight="15" x14ac:dyDescent="0.2"/>
  <cols>
    <col min="1" max="1" width="26.1640625" customWidth="1"/>
    <col min="2" max="2" width="21.5" hidden="1" customWidth="1"/>
    <col min="3" max="3" width="20.5" customWidth="1"/>
    <col min="5" max="7" width="20.1640625" customWidth="1"/>
    <col min="8" max="8" width="9.1640625" customWidth="1"/>
    <col min="9" max="9" width="13.6640625" customWidth="1"/>
    <col min="11" max="11" width="10.5" customWidth="1"/>
    <col min="13" max="13" width="11" customWidth="1"/>
    <col min="15" max="15" width="25.1640625" customWidth="1"/>
    <col min="18" max="18" width="11.83203125" bestFit="1" customWidth="1"/>
    <col min="19" max="19" width="12.5" customWidth="1"/>
    <col min="20" max="20" width="12.33203125" customWidth="1"/>
    <col min="22" max="22" width="14.5" customWidth="1"/>
    <col min="24" max="24" width="17.6640625" customWidth="1"/>
    <col min="26" max="26" width="13.33203125" customWidth="1"/>
    <col min="28" max="28" width="13.1640625" customWidth="1"/>
  </cols>
  <sheetData>
    <row r="1" spans="1:30" ht="64" x14ac:dyDescent="0.2">
      <c r="A1" s="120" t="s">
        <v>275</v>
      </c>
      <c r="B1" s="119" t="s">
        <v>86</v>
      </c>
      <c r="C1" s="119" t="s">
        <v>87</v>
      </c>
      <c r="D1" s="119" t="s">
        <v>3</v>
      </c>
      <c r="E1" s="119" t="s">
        <v>88</v>
      </c>
      <c r="F1" s="119" t="s">
        <v>3</v>
      </c>
      <c r="G1" s="119" t="s">
        <v>89</v>
      </c>
      <c r="H1" s="119" t="s">
        <v>3</v>
      </c>
      <c r="I1" s="119" t="s">
        <v>90</v>
      </c>
      <c r="J1" s="119" t="s">
        <v>3</v>
      </c>
      <c r="K1" s="119" t="s">
        <v>91</v>
      </c>
      <c r="L1" s="119" t="s">
        <v>3</v>
      </c>
      <c r="M1" s="119" t="s">
        <v>92</v>
      </c>
      <c r="N1" s="119" t="s">
        <v>3</v>
      </c>
      <c r="O1" s="119" t="s">
        <v>93</v>
      </c>
      <c r="P1" s="119" t="s">
        <v>3</v>
      </c>
      <c r="R1" s="120"/>
      <c r="S1" s="119" t="s">
        <v>86</v>
      </c>
      <c r="T1" s="119" t="s">
        <v>87</v>
      </c>
      <c r="U1" s="119" t="s">
        <v>3</v>
      </c>
      <c r="V1" s="119" t="s">
        <v>94</v>
      </c>
      <c r="W1" s="119" t="s">
        <v>3</v>
      </c>
      <c r="X1" s="119" t="s">
        <v>95</v>
      </c>
      <c r="Y1" s="119" t="s">
        <v>3</v>
      </c>
      <c r="Z1" s="119" t="s">
        <v>92</v>
      </c>
      <c r="AA1" s="119" t="s">
        <v>3</v>
      </c>
      <c r="AB1" s="119" t="s">
        <v>93</v>
      </c>
      <c r="AC1" s="119" t="s">
        <v>3</v>
      </c>
    </row>
    <row r="2" spans="1:30" x14ac:dyDescent="0.2">
      <c r="A2" s="76" t="s">
        <v>12</v>
      </c>
      <c r="B2" s="74">
        <v>10432</v>
      </c>
      <c r="C2" s="74">
        <v>571</v>
      </c>
      <c r="D2" s="77">
        <v>5.4735429447852764E-2</v>
      </c>
      <c r="E2" s="74">
        <v>701</v>
      </c>
      <c r="F2" s="78">
        <v>6.7197085889570546E-2</v>
      </c>
      <c r="G2" s="74">
        <v>72</v>
      </c>
      <c r="H2" s="77">
        <v>6.9018404907975461E-3</v>
      </c>
      <c r="I2" s="74">
        <v>886</v>
      </c>
      <c r="J2" s="77">
        <v>8.493098159509202E-2</v>
      </c>
      <c r="K2" s="74">
        <v>358</v>
      </c>
      <c r="L2" s="77">
        <v>3.431748466257669E-2</v>
      </c>
      <c r="M2" s="74">
        <v>4338</v>
      </c>
      <c r="N2" s="77">
        <v>0.41583588957055212</v>
      </c>
      <c r="O2" s="74">
        <v>3506</v>
      </c>
      <c r="P2" s="77">
        <v>0.33608128834355827</v>
      </c>
      <c r="R2" s="76" t="s">
        <v>12</v>
      </c>
      <c r="S2" s="74">
        <v>10432</v>
      </c>
      <c r="T2" s="74">
        <v>571</v>
      </c>
      <c r="U2" s="123">
        <v>5.4735429447852764E-2</v>
      </c>
      <c r="V2" s="85">
        <f>E2+G2</f>
        <v>773</v>
      </c>
      <c r="W2" s="124">
        <f>F2+H2</f>
        <v>7.4098926380368094E-2</v>
      </c>
      <c r="X2" s="85">
        <f>I2+K2</f>
        <v>1244</v>
      </c>
      <c r="Y2" s="78">
        <f>J2+L2</f>
        <v>0.11924846625766872</v>
      </c>
      <c r="Z2" s="125">
        <v>4338</v>
      </c>
      <c r="AA2" s="77">
        <v>0.41583588957055212</v>
      </c>
      <c r="AB2" s="74">
        <v>3506</v>
      </c>
      <c r="AC2" s="77">
        <v>0.33608128834355827</v>
      </c>
    </row>
    <row r="3" spans="1:30" x14ac:dyDescent="0.2">
      <c r="A3" s="76" t="s">
        <v>45</v>
      </c>
      <c r="B3" s="74">
        <v>13791</v>
      </c>
      <c r="C3" s="74">
        <v>284</v>
      </c>
      <c r="D3" s="77">
        <v>2.0593140453919221E-2</v>
      </c>
      <c r="E3" s="74">
        <v>565</v>
      </c>
      <c r="F3" s="78">
        <v>4.0968747734029441E-2</v>
      </c>
      <c r="G3" s="74">
        <v>31</v>
      </c>
      <c r="H3" s="77">
        <v>2.247842796026394E-3</v>
      </c>
      <c r="I3" s="74">
        <v>690</v>
      </c>
      <c r="J3" s="77">
        <v>5.0032629976071351E-2</v>
      </c>
      <c r="K3" s="74">
        <v>440</v>
      </c>
      <c r="L3" s="77">
        <v>3.1904865491987525E-2</v>
      </c>
      <c r="M3" s="74">
        <v>5396</v>
      </c>
      <c r="N3" s="77">
        <v>0.39126966862446522</v>
      </c>
      <c r="O3" s="74">
        <v>6385</v>
      </c>
      <c r="P3" s="77">
        <v>0.46298310492350081</v>
      </c>
      <c r="R3" s="76" t="s">
        <v>45</v>
      </c>
      <c r="S3" s="74">
        <v>13791</v>
      </c>
      <c r="T3" s="74">
        <v>284</v>
      </c>
      <c r="U3" s="123">
        <v>2.0593140453919221E-2</v>
      </c>
      <c r="V3" s="85">
        <f>E3+G3</f>
        <v>596</v>
      </c>
      <c r="W3" s="124">
        <f>F3+H3</f>
        <v>4.3216590530055832E-2</v>
      </c>
      <c r="X3" s="85">
        <f>I3+K3</f>
        <v>1130</v>
      </c>
      <c r="Y3" s="78">
        <f>J3+L3</f>
        <v>8.1937495468058869E-2</v>
      </c>
      <c r="Z3" s="125">
        <v>5396</v>
      </c>
      <c r="AA3" s="77">
        <v>0.39126966862446522</v>
      </c>
      <c r="AB3" s="74">
        <v>6385</v>
      </c>
      <c r="AC3" s="77">
        <v>0.46298310492350081</v>
      </c>
    </row>
    <row r="4" spans="1:30" x14ac:dyDescent="0.2">
      <c r="A4" s="76" t="s">
        <v>46</v>
      </c>
      <c r="B4" s="74">
        <v>8203</v>
      </c>
      <c r="C4" s="74">
        <v>169</v>
      </c>
      <c r="D4" s="77">
        <v>2.0602218700475437E-2</v>
      </c>
      <c r="E4" s="74">
        <v>148</v>
      </c>
      <c r="F4" s="78">
        <v>1.8042179690357187E-2</v>
      </c>
      <c r="G4" s="74">
        <v>20</v>
      </c>
      <c r="H4" s="77">
        <v>2.4381323905888091E-3</v>
      </c>
      <c r="I4" s="74">
        <v>270</v>
      </c>
      <c r="J4" s="77">
        <v>3.2914787272948921E-2</v>
      </c>
      <c r="K4" s="74">
        <v>129</v>
      </c>
      <c r="L4" s="77">
        <v>1.5725953919297819E-2</v>
      </c>
      <c r="M4" s="74">
        <v>3815</v>
      </c>
      <c r="N4" s="77">
        <v>0.46507375350481533</v>
      </c>
      <c r="O4" s="74">
        <v>3652</v>
      </c>
      <c r="P4" s="77">
        <v>0.44520297452151653</v>
      </c>
      <c r="R4" s="76" t="s">
        <v>46</v>
      </c>
      <c r="S4" s="74">
        <v>8203</v>
      </c>
      <c r="T4" s="74">
        <v>169</v>
      </c>
      <c r="U4" s="123">
        <v>2.0602218700475437E-2</v>
      </c>
      <c r="V4" s="85">
        <f>E4+G4</f>
        <v>168</v>
      </c>
      <c r="W4" s="124">
        <f>F4+H4</f>
        <v>2.0480312080945997E-2</v>
      </c>
      <c r="X4" s="85">
        <f>I4+K4</f>
        <v>399</v>
      </c>
      <c r="Y4" s="78">
        <f>J4+L4</f>
        <v>4.8640741192246741E-2</v>
      </c>
      <c r="Z4" s="125">
        <v>3815</v>
      </c>
      <c r="AA4" s="77">
        <v>0.46507375350481533</v>
      </c>
      <c r="AB4" s="74">
        <v>3652</v>
      </c>
      <c r="AC4" s="77">
        <v>0.44520297452151653</v>
      </c>
      <c r="AD4" s="26"/>
    </row>
    <row r="5" spans="1:30" x14ac:dyDescent="0.2">
      <c r="A5" s="76" t="s">
        <v>15</v>
      </c>
      <c r="B5" s="74">
        <v>39650</v>
      </c>
      <c r="C5" s="74">
        <v>2660</v>
      </c>
      <c r="D5" s="77">
        <v>6.7087011349306433E-2</v>
      </c>
      <c r="E5" s="74">
        <v>3968</v>
      </c>
      <c r="F5" s="78">
        <v>0.10007566204287516</v>
      </c>
      <c r="G5" s="74">
        <v>709</v>
      </c>
      <c r="H5" s="77">
        <v>1.7881462799495585E-2</v>
      </c>
      <c r="I5" s="74">
        <v>4149</v>
      </c>
      <c r="J5" s="77">
        <v>0.104640605296343</v>
      </c>
      <c r="K5" s="74">
        <v>1328</v>
      </c>
      <c r="L5" s="77">
        <v>3.3493064312736444E-2</v>
      </c>
      <c r="M5" s="74">
        <v>15575</v>
      </c>
      <c r="N5" s="77">
        <v>0.39281210592686</v>
      </c>
      <c r="O5" s="74">
        <v>11261</v>
      </c>
      <c r="P5" s="77">
        <v>0.28401008827238333</v>
      </c>
      <c r="R5" s="76" t="s">
        <v>15</v>
      </c>
      <c r="S5" s="74">
        <v>39650</v>
      </c>
      <c r="T5" s="74">
        <v>2660</v>
      </c>
      <c r="U5" s="123">
        <v>6.7087011349306433E-2</v>
      </c>
      <c r="V5" s="85">
        <f>E5+G5</f>
        <v>4677</v>
      </c>
      <c r="W5" s="124">
        <f>F5+H5</f>
        <v>0.11795712484237074</v>
      </c>
      <c r="X5" s="85">
        <f>I5+K5</f>
        <v>5477</v>
      </c>
      <c r="Y5" s="78">
        <f>J5+L5</f>
        <v>0.13813366960907944</v>
      </c>
      <c r="Z5" s="125">
        <v>15575</v>
      </c>
      <c r="AA5" s="77">
        <v>0.39281210592686</v>
      </c>
      <c r="AB5" s="74">
        <v>11261</v>
      </c>
      <c r="AC5" s="77">
        <v>0.28401008827238333</v>
      </c>
      <c r="AD5" s="26"/>
    </row>
    <row r="6" spans="1:30" x14ac:dyDescent="0.2">
      <c r="A6" s="76" t="s">
        <v>16</v>
      </c>
      <c r="B6" s="74">
        <v>15069</v>
      </c>
      <c r="C6" s="74">
        <v>1192</v>
      </c>
      <c r="D6" s="77">
        <v>7.9102793815117131E-2</v>
      </c>
      <c r="E6" s="74">
        <v>1833</v>
      </c>
      <c r="F6" s="78">
        <v>0.12164045391200477</v>
      </c>
      <c r="G6" s="74">
        <v>229</v>
      </c>
      <c r="H6" s="77">
        <v>1.5196761563474683E-2</v>
      </c>
      <c r="I6" s="74">
        <v>1243</v>
      </c>
      <c r="J6" s="77">
        <v>8.2487225429690086E-2</v>
      </c>
      <c r="K6" s="74">
        <v>413</v>
      </c>
      <c r="L6" s="77">
        <v>2.740725993762028E-2</v>
      </c>
      <c r="M6" s="74">
        <v>4987</v>
      </c>
      <c r="N6" s="77">
        <v>0.33094432278187008</v>
      </c>
      <c r="O6" s="74">
        <v>5172</v>
      </c>
      <c r="P6" s="77">
        <v>0.34322118256022299</v>
      </c>
      <c r="R6" s="76" t="s">
        <v>16</v>
      </c>
      <c r="S6" s="74">
        <v>15069</v>
      </c>
      <c r="T6" s="74">
        <v>1192</v>
      </c>
      <c r="U6" s="123">
        <v>7.9102793815117131E-2</v>
      </c>
      <c r="V6" s="85">
        <f>E6+G6</f>
        <v>2062</v>
      </c>
      <c r="W6" s="124">
        <f>F6+H6</f>
        <v>0.13683721547547945</v>
      </c>
      <c r="X6" s="85">
        <f>I6+K6</f>
        <v>1656</v>
      </c>
      <c r="Y6" s="78">
        <f>J6+L6</f>
        <v>0.10989448536731036</v>
      </c>
      <c r="Z6" s="125">
        <v>4987</v>
      </c>
      <c r="AA6" s="77">
        <v>0.33094432278187008</v>
      </c>
      <c r="AB6" s="74">
        <v>5172</v>
      </c>
      <c r="AC6" s="77">
        <v>0.34322118256022299</v>
      </c>
      <c r="AD6" s="26"/>
    </row>
    <row r="7" spans="1:30" x14ac:dyDescent="0.2">
      <c r="A7" s="76" t="s">
        <v>17</v>
      </c>
      <c r="B7" s="74">
        <v>86012</v>
      </c>
      <c r="C7" s="74">
        <v>15449</v>
      </c>
      <c r="D7" s="77">
        <v>0.17961447239920011</v>
      </c>
      <c r="E7" s="74">
        <v>22117</v>
      </c>
      <c r="F7" s="78">
        <v>0.25713853880853832</v>
      </c>
      <c r="G7" s="74">
        <v>3580</v>
      </c>
      <c r="H7" s="77">
        <v>4.1622099241966234E-2</v>
      </c>
      <c r="I7" s="74">
        <v>14716</v>
      </c>
      <c r="J7" s="77">
        <v>0.17109240571083104</v>
      </c>
      <c r="K7" s="74">
        <v>4941</v>
      </c>
      <c r="L7" s="77">
        <v>5.7445472724736081E-2</v>
      </c>
      <c r="M7" s="74">
        <v>16095</v>
      </c>
      <c r="N7" s="77">
        <v>0.18712505231828117</v>
      </c>
      <c r="O7" s="74">
        <v>9114</v>
      </c>
      <c r="P7" s="77">
        <v>0.105961958796447</v>
      </c>
      <c r="R7" s="76" t="s">
        <v>17</v>
      </c>
      <c r="S7" s="74">
        <v>86012</v>
      </c>
      <c r="T7" s="74">
        <v>15449</v>
      </c>
      <c r="U7" s="123">
        <v>0.17961447239920011</v>
      </c>
      <c r="V7" s="85">
        <f>E7+G7</f>
        <v>25697</v>
      </c>
      <c r="W7" s="124">
        <f>F7+H7</f>
        <v>0.29876063805050457</v>
      </c>
      <c r="X7" s="85">
        <f>I7+K7</f>
        <v>19657</v>
      </c>
      <c r="Y7" s="78">
        <f>J7+L7</f>
        <v>0.22853787843556711</v>
      </c>
      <c r="Z7" s="125">
        <v>16095</v>
      </c>
      <c r="AA7" s="77">
        <v>0.18712505231828117</v>
      </c>
      <c r="AB7" s="74">
        <v>9114</v>
      </c>
      <c r="AC7" s="77">
        <v>0.105961958796447</v>
      </c>
      <c r="AD7" s="26"/>
    </row>
    <row r="8" spans="1:30" x14ac:dyDescent="0.2">
      <c r="A8" s="76" t="s">
        <v>18</v>
      </c>
      <c r="B8" s="74">
        <v>12722</v>
      </c>
      <c r="C8" s="74">
        <v>1963</v>
      </c>
      <c r="D8" s="77">
        <v>0.15429963842163183</v>
      </c>
      <c r="E8" s="74">
        <v>1123</v>
      </c>
      <c r="F8" s="78">
        <v>8.8272284232038992E-2</v>
      </c>
      <c r="G8" s="74">
        <v>222</v>
      </c>
      <c r="H8" s="77">
        <v>1.7450086464392393E-2</v>
      </c>
      <c r="I8" s="74">
        <v>877</v>
      </c>
      <c r="J8" s="77">
        <v>6.8935701933658236E-2</v>
      </c>
      <c r="K8" s="74">
        <v>522</v>
      </c>
      <c r="L8" s="77">
        <v>4.1031284389246976E-2</v>
      </c>
      <c r="M8" s="74">
        <v>3327</v>
      </c>
      <c r="N8" s="77">
        <v>0.26151548498663735</v>
      </c>
      <c r="O8" s="74">
        <v>4688</v>
      </c>
      <c r="P8" s="77">
        <v>0.36849551957239429</v>
      </c>
      <c r="R8" s="76" t="s">
        <v>18</v>
      </c>
      <c r="S8" s="74">
        <v>12722</v>
      </c>
      <c r="T8" s="74">
        <v>1963</v>
      </c>
      <c r="U8" s="123">
        <v>0.15429963842163183</v>
      </c>
      <c r="V8" s="85">
        <f>E8+G8</f>
        <v>1345</v>
      </c>
      <c r="W8" s="124">
        <f>F8+H8</f>
        <v>0.10572237069643138</v>
      </c>
      <c r="X8" s="85">
        <f>I8+K8</f>
        <v>1399</v>
      </c>
      <c r="Y8" s="78">
        <f>J8+L8</f>
        <v>0.10996698632290522</v>
      </c>
      <c r="Z8" s="125">
        <v>3327</v>
      </c>
      <c r="AA8" s="77">
        <v>0.26151548498663735</v>
      </c>
      <c r="AB8" s="74">
        <v>4688</v>
      </c>
      <c r="AC8" s="77">
        <v>0.36849551957239429</v>
      </c>
      <c r="AD8" s="26"/>
    </row>
    <row r="9" spans="1:30" x14ac:dyDescent="0.2">
      <c r="A9" s="76" t="s">
        <v>19</v>
      </c>
      <c r="B9" s="74">
        <v>33947</v>
      </c>
      <c r="C9" s="74">
        <v>9228</v>
      </c>
      <c r="D9" s="77">
        <v>0.27183550829233805</v>
      </c>
      <c r="E9" s="74">
        <v>8883</v>
      </c>
      <c r="F9" s="78">
        <v>0.26167260729961411</v>
      </c>
      <c r="G9" s="74">
        <v>842</v>
      </c>
      <c r="H9" s="77">
        <v>2.4803369959053818E-2</v>
      </c>
      <c r="I9" s="74">
        <v>3900</v>
      </c>
      <c r="J9" s="77">
        <v>0.11488496774383598</v>
      </c>
      <c r="K9" s="74">
        <v>1282</v>
      </c>
      <c r="L9" s="77">
        <v>3.776475093528147E-2</v>
      </c>
      <c r="M9" s="74">
        <v>6413</v>
      </c>
      <c r="N9" s="77">
        <v>0.18891212772851798</v>
      </c>
      <c r="O9" s="74">
        <v>3399</v>
      </c>
      <c r="P9" s="77">
        <v>0.10012666804135859</v>
      </c>
      <c r="R9" s="76" t="s">
        <v>19</v>
      </c>
      <c r="S9" s="74">
        <v>33947</v>
      </c>
      <c r="T9" s="74">
        <v>9228</v>
      </c>
      <c r="U9" s="123">
        <v>0.27183550829233805</v>
      </c>
      <c r="V9" s="85">
        <f>E9+G9</f>
        <v>9725</v>
      </c>
      <c r="W9" s="124">
        <f>F9+H9</f>
        <v>0.28647597725866791</v>
      </c>
      <c r="X9" s="85">
        <f>I9+K9</f>
        <v>5182</v>
      </c>
      <c r="Y9" s="78">
        <f>J9+L9</f>
        <v>0.15264971867911745</v>
      </c>
      <c r="Z9" s="125">
        <v>6413</v>
      </c>
      <c r="AA9" s="77">
        <v>0.18891212772851798</v>
      </c>
      <c r="AB9" s="74">
        <v>3399</v>
      </c>
      <c r="AC9" s="77">
        <v>0.10012666804135859</v>
      </c>
      <c r="AD9" s="26"/>
    </row>
    <row r="10" spans="1:30" x14ac:dyDescent="0.2">
      <c r="A10" s="76" t="s">
        <v>20</v>
      </c>
      <c r="B10" s="74">
        <v>13202</v>
      </c>
      <c r="C10" s="74">
        <v>840</v>
      </c>
      <c r="D10" s="77">
        <v>6.362672322375397E-2</v>
      </c>
      <c r="E10" s="74">
        <v>1017</v>
      </c>
      <c r="F10" s="78">
        <v>7.7033782760187852E-2</v>
      </c>
      <c r="G10" s="74">
        <v>291</v>
      </c>
      <c r="H10" s="77">
        <v>2.2042114831086198E-2</v>
      </c>
      <c r="I10" s="74">
        <v>1112</v>
      </c>
      <c r="J10" s="77">
        <v>8.422966217239812E-2</v>
      </c>
      <c r="K10" s="74">
        <v>383</v>
      </c>
      <c r="L10" s="77">
        <v>2.9010755946068778E-2</v>
      </c>
      <c r="M10" s="74">
        <v>4491</v>
      </c>
      <c r="N10" s="77">
        <v>0.34017573094985609</v>
      </c>
      <c r="O10" s="74">
        <v>5068</v>
      </c>
      <c r="P10" s="77">
        <v>0.38388123011664899</v>
      </c>
      <c r="R10" s="76" t="s">
        <v>20</v>
      </c>
      <c r="S10" s="74">
        <v>13202</v>
      </c>
      <c r="T10" s="74">
        <v>840</v>
      </c>
      <c r="U10" s="123">
        <v>6.362672322375397E-2</v>
      </c>
      <c r="V10" s="85">
        <f>E10+G10</f>
        <v>1308</v>
      </c>
      <c r="W10" s="124">
        <f>F10+H10</f>
        <v>9.9075897591274054E-2</v>
      </c>
      <c r="X10" s="85">
        <f>I10+K10</f>
        <v>1495</v>
      </c>
      <c r="Y10" s="78">
        <f>J10+L10</f>
        <v>0.1132404181184669</v>
      </c>
      <c r="Z10" s="125">
        <v>4491</v>
      </c>
      <c r="AA10" s="77">
        <v>0.34017573094985609</v>
      </c>
      <c r="AB10" s="74">
        <v>5068</v>
      </c>
      <c r="AC10" s="77">
        <v>0.38388123011664899</v>
      </c>
      <c r="AD10" s="26"/>
    </row>
    <row r="11" spans="1:30" x14ac:dyDescent="0.2">
      <c r="A11" s="76" t="s">
        <v>21</v>
      </c>
      <c r="B11" s="74">
        <v>27240</v>
      </c>
      <c r="C11" s="74">
        <v>3759</v>
      </c>
      <c r="D11" s="77">
        <v>0.13799559471365638</v>
      </c>
      <c r="E11" s="74">
        <v>6354</v>
      </c>
      <c r="F11" s="78">
        <v>0.23325991189427311</v>
      </c>
      <c r="G11" s="74">
        <v>1196</v>
      </c>
      <c r="H11" s="77">
        <v>4.3906020558002939E-2</v>
      </c>
      <c r="I11" s="74">
        <v>5794</v>
      </c>
      <c r="J11" s="77">
        <v>0.21270190895741556</v>
      </c>
      <c r="K11" s="74">
        <v>2416</v>
      </c>
      <c r="L11" s="77">
        <v>8.8693098384728344E-2</v>
      </c>
      <c r="M11" s="74">
        <v>5017</v>
      </c>
      <c r="N11" s="77">
        <v>0.1841776798825257</v>
      </c>
      <c r="O11" s="74">
        <v>2704</v>
      </c>
      <c r="P11" s="77">
        <v>9.9265785609397944E-2</v>
      </c>
      <c r="R11" s="76" t="s">
        <v>21</v>
      </c>
      <c r="S11" s="74">
        <v>27240</v>
      </c>
      <c r="T11" s="74">
        <v>3759</v>
      </c>
      <c r="U11" s="123">
        <v>0.13799559471365638</v>
      </c>
      <c r="V11" s="85">
        <f>E11+G11</f>
        <v>7550</v>
      </c>
      <c r="W11" s="124">
        <f>F11+H11</f>
        <v>0.27716593245227605</v>
      </c>
      <c r="X11" s="85">
        <f>I11+K11</f>
        <v>8210</v>
      </c>
      <c r="Y11" s="78">
        <f>J11+L11</f>
        <v>0.30139500734214392</v>
      </c>
      <c r="Z11" s="125">
        <v>5017</v>
      </c>
      <c r="AA11" s="77">
        <v>0.1841776798825257</v>
      </c>
      <c r="AB11" s="74">
        <v>2704</v>
      </c>
      <c r="AC11" s="77">
        <v>9.9265785609397944E-2</v>
      </c>
      <c r="AD11" s="26"/>
    </row>
    <row r="12" spans="1:30" x14ac:dyDescent="0.2">
      <c r="A12" s="76" t="s">
        <v>22</v>
      </c>
      <c r="B12" s="74">
        <v>31245</v>
      </c>
      <c r="C12" s="74">
        <v>2490</v>
      </c>
      <c r="D12" s="77">
        <v>7.9692750840134427E-2</v>
      </c>
      <c r="E12" s="74">
        <v>3203</v>
      </c>
      <c r="F12" s="78">
        <v>0.10251240198431749</v>
      </c>
      <c r="G12" s="74">
        <v>570</v>
      </c>
      <c r="H12" s="77">
        <v>1.8242918867018725E-2</v>
      </c>
      <c r="I12" s="74">
        <v>3789</v>
      </c>
      <c r="J12" s="77">
        <v>0.1212674027844455</v>
      </c>
      <c r="K12" s="74">
        <v>886</v>
      </c>
      <c r="L12" s="77">
        <v>2.835653704592735E-2</v>
      </c>
      <c r="M12" s="74">
        <v>9304</v>
      </c>
      <c r="N12" s="77">
        <v>0.29777564410305651</v>
      </c>
      <c r="O12" s="74">
        <v>11003</v>
      </c>
      <c r="P12" s="77">
        <v>0.35215234437510001</v>
      </c>
      <c r="R12" s="76" t="s">
        <v>22</v>
      </c>
      <c r="S12" s="74">
        <v>31245</v>
      </c>
      <c r="T12" s="74">
        <v>2490</v>
      </c>
      <c r="U12" s="123">
        <v>7.9692750840134427E-2</v>
      </c>
      <c r="V12" s="85">
        <f>E12+G12</f>
        <v>3773</v>
      </c>
      <c r="W12" s="124">
        <f>F12+H12</f>
        <v>0.12075532085133622</v>
      </c>
      <c r="X12" s="85">
        <f>I12+K12</f>
        <v>4675</v>
      </c>
      <c r="Y12" s="78">
        <f>J12+L12</f>
        <v>0.14962393983037287</v>
      </c>
      <c r="Z12" s="125">
        <v>9304</v>
      </c>
      <c r="AA12" s="77">
        <v>0.29777564410305651</v>
      </c>
      <c r="AB12" s="74">
        <v>11003</v>
      </c>
      <c r="AC12" s="77">
        <v>0.35215234437510001</v>
      </c>
      <c r="AD12" s="26"/>
    </row>
    <row r="13" spans="1:30" x14ac:dyDescent="0.2">
      <c r="A13" s="76" t="s">
        <v>23</v>
      </c>
      <c r="B13" s="74">
        <v>531</v>
      </c>
      <c r="C13" s="74">
        <v>17</v>
      </c>
      <c r="D13" s="77">
        <v>3.2015065913370999E-2</v>
      </c>
      <c r="E13" s="74">
        <v>20</v>
      </c>
      <c r="F13" s="78">
        <v>3.7664783427495289E-2</v>
      </c>
      <c r="G13" s="74">
        <v>15</v>
      </c>
      <c r="H13" s="77">
        <v>2.8248587570621469E-2</v>
      </c>
      <c r="I13" s="74">
        <v>36</v>
      </c>
      <c r="J13" s="77">
        <v>6.7796610169491525E-2</v>
      </c>
      <c r="K13" s="74">
        <v>0</v>
      </c>
      <c r="L13" s="77">
        <v>0</v>
      </c>
      <c r="M13" s="74">
        <v>208</v>
      </c>
      <c r="N13" s="77">
        <v>0.39171374764595102</v>
      </c>
      <c r="O13" s="74">
        <v>235</v>
      </c>
      <c r="P13" s="77">
        <v>0.44256120527306969</v>
      </c>
      <c r="R13" s="76" t="s">
        <v>23</v>
      </c>
      <c r="S13" s="74">
        <v>531</v>
      </c>
      <c r="T13" s="74">
        <v>17</v>
      </c>
      <c r="U13" s="123">
        <v>3.2015065913370999E-2</v>
      </c>
      <c r="V13" s="85">
        <f>E13+G13</f>
        <v>35</v>
      </c>
      <c r="W13" s="124">
        <f>F13+H13</f>
        <v>6.5913370998116755E-2</v>
      </c>
      <c r="X13" s="85">
        <f>I13+K13</f>
        <v>36</v>
      </c>
      <c r="Y13" s="78">
        <f>J13+L13</f>
        <v>6.7796610169491525E-2</v>
      </c>
      <c r="Z13" s="125">
        <v>208</v>
      </c>
      <c r="AA13" s="77">
        <v>0.39171374764595102</v>
      </c>
      <c r="AB13" s="74">
        <v>235</v>
      </c>
      <c r="AC13" s="77">
        <v>0.44256120527306969</v>
      </c>
      <c r="AD13" s="26"/>
    </row>
    <row r="14" spans="1:30" x14ac:dyDescent="0.2">
      <c r="A14" s="76" t="s">
        <v>24</v>
      </c>
      <c r="B14" s="74">
        <v>18095</v>
      </c>
      <c r="C14" s="74">
        <v>2632</v>
      </c>
      <c r="D14" s="77">
        <v>0.14545454545454545</v>
      </c>
      <c r="E14" s="74">
        <v>5323</v>
      </c>
      <c r="F14" s="78">
        <v>0.29416966012710694</v>
      </c>
      <c r="G14" s="74">
        <v>897</v>
      </c>
      <c r="H14" s="77">
        <v>4.9571704890853829E-2</v>
      </c>
      <c r="I14" s="74">
        <v>4147</v>
      </c>
      <c r="J14" s="77">
        <v>0.22917933130699089</v>
      </c>
      <c r="K14" s="74">
        <v>1392</v>
      </c>
      <c r="L14" s="77">
        <v>7.6927327991157785E-2</v>
      </c>
      <c r="M14" s="74">
        <v>2109</v>
      </c>
      <c r="N14" s="77">
        <v>0.11655153357281017</v>
      </c>
      <c r="O14" s="74">
        <v>1595</v>
      </c>
      <c r="P14" s="77">
        <v>8.8145896656534953E-2</v>
      </c>
      <c r="R14" s="76" t="s">
        <v>24</v>
      </c>
      <c r="S14" s="74">
        <v>18095</v>
      </c>
      <c r="T14" s="74">
        <v>2632</v>
      </c>
      <c r="U14" s="123">
        <v>0.14545454545454545</v>
      </c>
      <c r="V14" s="85">
        <f>E14+G14</f>
        <v>6220</v>
      </c>
      <c r="W14" s="124">
        <f>F14+H14</f>
        <v>0.34374136501796076</v>
      </c>
      <c r="X14" s="85">
        <f>I14+K14</f>
        <v>5539</v>
      </c>
      <c r="Y14" s="78">
        <f>J14+L14</f>
        <v>0.30610665929814868</v>
      </c>
      <c r="Z14" s="125">
        <v>2109</v>
      </c>
      <c r="AA14" s="77">
        <v>0.11655153357281017</v>
      </c>
      <c r="AB14" s="74">
        <v>1595</v>
      </c>
      <c r="AC14" s="77">
        <v>8.8145896656534953E-2</v>
      </c>
      <c r="AD14" s="26"/>
    </row>
    <row r="15" spans="1:30" x14ac:dyDescent="0.2">
      <c r="A15" s="76" t="s">
        <v>47</v>
      </c>
      <c r="B15" s="74">
        <v>9593</v>
      </c>
      <c r="C15" s="74">
        <v>1662</v>
      </c>
      <c r="D15" s="77">
        <v>0.17325132909413113</v>
      </c>
      <c r="E15" s="74">
        <v>1332</v>
      </c>
      <c r="F15" s="78">
        <v>0.13885124569998958</v>
      </c>
      <c r="G15" s="74">
        <v>159</v>
      </c>
      <c r="H15" s="77">
        <v>1.6574585635359115E-2</v>
      </c>
      <c r="I15" s="74">
        <v>1449</v>
      </c>
      <c r="J15" s="77">
        <v>0.15104763890336703</v>
      </c>
      <c r="K15" s="74">
        <v>370</v>
      </c>
      <c r="L15" s="77">
        <v>3.8569790472219326E-2</v>
      </c>
      <c r="M15" s="74">
        <v>2320</v>
      </c>
      <c r="N15" s="77">
        <v>0.24184301052851037</v>
      </c>
      <c r="O15" s="74">
        <v>2301</v>
      </c>
      <c r="P15" s="77">
        <v>0.23986239966642342</v>
      </c>
      <c r="R15" s="76" t="s">
        <v>47</v>
      </c>
      <c r="S15" s="74">
        <v>9593</v>
      </c>
      <c r="T15" s="74">
        <v>1662</v>
      </c>
      <c r="U15" s="123">
        <v>0.17325132909413113</v>
      </c>
      <c r="V15" s="85">
        <f>E15+G15</f>
        <v>1491</v>
      </c>
      <c r="W15" s="124">
        <f>F15+H15</f>
        <v>0.15542583133534871</v>
      </c>
      <c r="X15" s="85">
        <f>I15+K15</f>
        <v>1819</v>
      </c>
      <c r="Y15" s="78">
        <f>J15+L15</f>
        <v>0.18961742937558634</v>
      </c>
      <c r="Z15" s="125">
        <v>2320</v>
      </c>
      <c r="AA15" s="77">
        <v>0.24184301052851037</v>
      </c>
      <c r="AB15" s="74">
        <v>2301</v>
      </c>
      <c r="AC15" s="77">
        <v>0.23986239966642342</v>
      </c>
      <c r="AD15" s="26"/>
    </row>
    <row r="16" spans="1:30" x14ac:dyDescent="0.2">
      <c r="A16" s="76" t="s">
        <v>48</v>
      </c>
      <c r="B16" s="74">
        <v>7136</v>
      </c>
      <c r="C16" s="74">
        <v>185</v>
      </c>
      <c r="D16" s="77">
        <v>2.592488789237668E-2</v>
      </c>
      <c r="E16" s="74">
        <v>512</v>
      </c>
      <c r="F16" s="78">
        <v>7.1748878923766815E-2</v>
      </c>
      <c r="G16" s="74">
        <v>11</v>
      </c>
      <c r="H16" s="77">
        <v>1.5414798206278026E-3</v>
      </c>
      <c r="I16" s="74">
        <v>503</v>
      </c>
      <c r="J16" s="77">
        <v>7.048766816143498E-2</v>
      </c>
      <c r="K16" s="74">
        <v>143</v>
      </c>
      <c r="L16" s="77">
        <v>2.0039237668161434E-2</v>
      </c>
      <c r="M16" s="74">
        <v>3626</v>
      </c>
      <c r="N16" s="77">
        <v>0.508127802690583</v>
      </c>
      <c r="O16" s="74">
        <v>2156</v>
      </c>
      <c r="P16" s="77">
        <v>0.30213004484304934</v>
      </c>
      <c r="R16" s="76" t="s">
        <v>48</v>
      </c>
      <c r="S16" s="74">
        <v>7136</v>
      </c>
      <c r="T16" s="74">
        <v>185</v>
      </c>
      <c r="U16" s="123">
        <v>2.592488789237668E-2</v>
      </c>
      <c r="V16" s="85">
        <f>E16+G16</f>
        <v>523</v>
      </c>
      <c r="W16" s="124">
        <f>F16+H16</f>
        <v>7.3290358744394615E-2</v>
      </c>
      <c r="X16" s="85">
        <f>I16+K16</f>
        <v>646</v>
      </c>
      <c r="Y16" s="78">
        <f>J16+L16</f>
        <v>9.052690582959641E-2</v>
      </c>
      <c r="Z16" s="125">
        <v>3626</v>
      </c>
      <c r="AA16" s="77">
        <v>0.508127802690583</v>
      </c>
      <c r="AB16" s="74">
        <v>2156</v>
      </c>
      <c r="AC16" s="77">
        <v>0.30213004484304934</v>
      </c>
      <c r="AD16" s="26"/>
    </row>
    <row r="17" spans="1:30" x14ac:dyDescent="0.2">
      <c r="A17" s="76" t="s">
        <v>27</v>
      </c>
      <c r="B17" s="74">
        <v>21961</v>
      </c>
      <c r="C17" s="74">
        <v>2027</v>
      </c>
      <c r="D17" s="77">
        <v>9.2299986339419882E-2</v>
      </c>
      <c r="E17" s="74">
        <v>3923</v>
      </c>
      <c r="F17" s="78">
        <v>0.17863485269341103</v>
      </c>
      <c r="G17" s="74">
        <v>733</v>
      </c>
      <c r="H17" s="77">
        <v>3.33773507581622E-2</v>
      </c>
      <c r="I17" s="74">
        <v>3535</v>
      </c>
      <c r="J17" s="77">
        <v>0.1609671690724466</v>
      </c>
      <c r="K17" s="74">
        <v>1211</v>
      </c>
      <c r="L17" s="77">
        <v>5.5143208414917357E-2</v>
      </c>
      <c r="M17" s="74">
        <v>5209</v>
      </c>
      <c r="N17" s="77">
        <v>0.23719320613815401</v>
      </c>
      <c r="O17" s="74">
        <v>5323</v>
      </c>
      <c r="P17" s="77">
        <v>0.2423842265834889</v>
      </c>
      <c r="R17" s="76" t="s">
        <v>27</v>
      </c>
      <c r="S17" s="74">
        <v>21961</v>
      </c>
      <c r="T17" s="74">
        <v>2027</v>
      </c>
      <c r="U17" s="123">
        <v>9.2299986339419882E-2</v>
      </c>
      <c r="V17" s="85">
        <f>E17+G17</f>
        <v>4656</v>
      </c>
      <c r="W17" s="124">
        <f>F17+H17</f>
        <v>0.21201220345157323</v>
      </c>
      <c r="X17" s="85">
        <f>I17+K17</f>
        <v>4746</v>
      </c>
      <c r="Y17" s="78">
        <f>J17+L17</f>
        <v>0.21611037748736395</v>
      </c>
      <c r="Z17" s="125">
        <v>5209</v>
      </c>
      <c r="AA17" s="77">
        <v>0.23719320613815401</v>
      </c>
      <c r="AB17" s="74">
        <v>5323</v>
      </c>
      <c r="AC17" s="77">
        <v>0.2423842265834889</v>
      </c>
      <c r="AD17" s="26"/>
    </row>
    <row r="18" spans="1:30" x14ac:dyDescent="0.2">
      <c r="A18" s="76" t="s">
        <v>28</v>
      </c>
      <c r="B18" s="74">
        <v>33588</v>
      </c>
      <c r="C18" s="74">
        <v>7733</v>
      </c>
      <c r="D18" s="77">
        <v>0.23023103489341432</v>
      </c>
      <c r="E18" s="74">
        <v>8227</v>
      </c>
      <c r="F18" s="78">
        <v>0.24493866857210908</v>
      </c>
      <c r="G18" s="74">
        <v>1675</v>
      </c>
      <c r="H18" s="77">
        <v>4.9869000833631057E-2</v>
      </c>
      <c r="I18" s="74">
        <v>6363</v>
      </c>
      <c r="J18" s="77">
        <v>0.18944265809217578</v>
      </c>
      <c r="K18" s="74">
        <v>1910</v>
      </c>
      <c r="L18" s="77">
        <v>5.6865547219244972E-2</v>
      </c>
      <c r="M18" s="74">
        <v>5048</v>
      </c>
      <c r="N18" s="77">
        <v>0.15029177087054901</v>
      </c>
      <c r="O18" s="74">
        <v>2632</v>
      </c>
      <c r="P18" s="77">
        <v>7.8361319518875788E-2</v>
      </c>
      <c r="R18" s="76" t="s">
        <v>28</v>
      </c>
      <c r="S18" s="74">
        <v>33588</v>
      </c>
      <c r="T18" s="74">
        <v>7733</v>
      </c>
      <c r="U18" s="123">
        <v>0.23023103489341432</v>
      </c>
      <c r="V18" s="85">
        <f>E18+G18</f>
        <v>9902</v>
      </c>
      <c r="W18" s="124">
        <f>F18+H18</f>
        <v>0.29480766940574016</v>
      </c>
      <c r="X18" s="85">
        <f>I18+K18</f>
        <v>8273</v>
      </c>
      <c r="Y18" s="78">
        <f>J18+L18</f>
        <v>0.24630820531142075</v>
      </c>
      <c r="Z18" s="125">
        <v>5048</v>
      </c>
      <c r="AA18" s="77">
        <v>0.15029177087054901</v>
      </c>
      <c r="AB18" s="74">
        <v>2632</v>
      </c>
      <c r="AC18" s="77">
        <v>7.8361319518875788E-2</v>
      </c>
      <c r="AD18" s="26"/>
    </row>
    <row r="19" spans="1:30" x14ac:dyDescent="0.2">
      <c r="A19" s="76" t="s">
        <v>29</v>
      </c>
      <c r="B19" s="74">
        <v>29731</v>
      </c>
      <c r="C19" s="74">
        <v>2350</v>
      </c>
      <c r="D19" s="77">
        <v>7.9042077293061119E-2</v>
      </c>
      <c r="E19" s="74">
        <v>3681</v>
      </c>
      <c r="F19" s="78">
        <v>0.12381016447479062</v>
      </c>
      <c r="G19" s="74">
        <v>558</v>
      </c>
      <c r="H19" s="77">
        <v>1.8768288991288556E-2</v>
      </c>
      <c r="I19" s="74">
        <v>2499</v>
      </c>
      <c r="J19" s="77">
        <v>8.4053681342706271E-2</v>
      </c>
      <c r="K19" s="74">
        <v>1102</v>
      </c>
      <c r="L19" s="77">
        <v>3.7065689011469512E-2</v>
      </c>
      <c r="M19" s="74">
        <v>12856</v>
      </c>
      <c r="N19" s="77">
        <v>0.43241061518280582</v>
      </c>
      <c r="O19" s="74">
        <v>6685</v>
      </c>
      <c r="P19" s="77">
        <v>0.22484948370387811</v>
      </c>
      <c r="R19" s="76" t="s">
        <v>29</v>
      </c>
      <c r="S19" s="74">
        <v>29731</v>
      </c>
      <c r="T19" s="74">
        <v>2350</v>
      </c>
      <c r="U19" s="123">
        <v>7.9042077293061119E-2</v>
      </c>
      <c r="V19" s="85">
        <f>E19+G19</f>
        <v>4239</v>
      </c>
      <c r="W19" s="124">
        <f>F19+H19</f>
        <v>0.14257845346607917</v>
      </c>
      <c r="X19" s="85">
        <f>I19+K19</f>
        <v>3601</v>
      </c>
      <c r="Y19" s="78">
        <f>J19+L19</f>
        <v>0.12111937035417578</v>
      </c>
      <c r="Z19" s="125">
        <v>12856</v>
      </c>
      <c r="AA19" s="77">
        <v>0.43241061518280582</v>
      </c>
      <c r="AB19" s="74">
        <v>6685</v>
      </c>
      <c r="AC19" s="77">
        <v>0.22484948370387811</v>
      </c>
      <c r="AD19" s="26"/>
    </row>
    <row r="20" spans="1:30" x14ac:dyDescent="0.2">
      <c r="A20" s="76" t="s">
        <v>30</v>
      </c>
      <c r="B20" s="74">
        <v>3897</v>
      </c>
      <c r="C20" s="74">
        <v>80</v>
      </c>
      <c r="D20" s="77">
        <v>2.0528611752630228E-2</v>
      </c>
      <c r="E20" s="74">
        <v>218</v>
      </c>
      <c r="F20" s="78">
        <v>5.5940467025917373E-2</v>
      </c>
      <c r="G20" s="74">
        <v>32</v>
      </c>
      <c r="H20" s="77">
        <v>8.2114447010520914E-3</v>
      </c>
      <c r="I20" s="74">
        <v>173</v>
      </c>
      <c r="J20" s="77">
        <v>4.4393122915062866E-2</v>
      </c>
      <c r="K20" s="74">
        <v>180</v>
      </c>
      <c r="L20" s="77">
        <v>4.6189376443418015E-2</v>
      </c>
      <c r="M20" s="74">
        <v>1799</v>
      </c>
      <c r="N20" s="77">
        <v>0.46163715678727224</v>
      </c>
      <c r="O20" s="74">
        <v>1415</v>
      </c>
      <c r="P20" s="77">
        <v>0.36309982037464716</v>
      </c>
      <c r="R20" s="76" t="s">
        <v>30</v>
      </c>
      <c r="S20" s="74">
        <v>3897</v>
      </c>
      <c r="T20" s="74">
        <v>80</v>
      </c>
      <c r="U20" s="123">
        <v>2.0528611752630228E-2</v>
      </c>
      <c r="V20" s="85">
        <f>E20+G20</f>
        <v>250</v>
      </c>
      <c r="W20" s="124">
        <f>F20+H20</f>
        <v>6.4151911726969463E-2</v>
      </c>
      <c r="X20" s="85">
        <f>I20+K20</f>
        <v>353</v>
      </c>
      <c r="Y20" s="78">
        <f>J20+L20</f>
        <v>9.0582499358480881E-2</v>
      </c>
      <c r="Z20" s="125">
        <v>1799</v>
      </c>
      <c r="AA20" s="77">
        <v>0.46163715678727224</v>
      </c>
      <c r="AB20" s="74">
        <v>1415</v>
      </c>
      <c r="AC20" s="77">
        <v>0.36309982037464716</v>
      </c>
      <c r="AD20" s="26"/>
    </row>
    <row r="21" spans="1:30" x14ac:dyDescent="0.2">
      <c r="A21" s="76" t="s">
        <v>49</v>
      </c>
      <c r="B21" s="74">
        <v>26302</v>
      </c>
      <c r="C21" s="74">
        <v>3094</v>
      </c>
      <c r="D21" s="77">
        <v>0.11763364002737435</v>
      </c>
      <c r="E21" s="74">
        <v>2387</v>
      </c>
      <c r="F21" s="78">
        <v>9.0753554862748081E-2</v>
      </c>
      <c r="G21" s="74">
        <v>540</v>
      </c>
      <c r="H21" s="77">
        <v>2.0530758117253439E-2</v>
      </c>
      <c r="I21" s="74">
        <v>2234</v>
      </c>
      <c r="J21" s="77">
        <v>8.4936506729526268E-2</v>
      </c>
      <c r="K21" s="74">
        <v>795</v>
      </c>
      <c r="L21" s="77">
        <v>3.0225838339289789E-2</v>
      </c>
      <c r="M21" s="74">
        <v>7741</v>
      </c>
      <c r="N21" s="77">
        <v>0.29431221960307202</v>
      </c>
      <c r="O21" s="74">
        <v>9511</v>
      </c>
      <c r="P21" s="77">
        <v>0.36160748232073608</v>
      </c>
      <c r="R21" s="76" t="s">
        <v>49</v>
      </c>
      <c r="S21" s="74">
        <v>26302</v>
      </c>
      <c r="T21" s="74">
        <v>3094</v>
      </c>
      <c r="U21" s="123">
        <v>0.11763364002737435</v>
      </c>
      <c r="V21" s="85">
        <f>E21+G21</f>
        <v>2927</v>
      </c>
      <c r="W21" s="124">
        <f>F21+H21</f>
        <v>0.11128431298000152</v>
      </c>
      <c r="X21" s="85">
        <f>I21+K21</f>
        <v>3029</v>
      </c>
      <c r="Y21" s="78">
        <f>J21+L21</f>
        <v>0.11516234506881606</v>
      </c>
      <c r="Z21" s="125">
        <v>7741</v>
      </c>
      <c r="AA21" s="77">
        <v>0.29431221960307202</v>
      </c>
      <c r="AB21" s="74">
        <v>9511</v>
      </c>
      <c r="AC21" s="77">
        <v>0.36160748232073608</v>
      </c>
      <c r="AD21" s="26"/>
    </row>
    <row r="22" spans="1:30" x14ac:dyDescent="0.2">
      <c r="A22" s="76" t="s">
        <v>50</v>
      </c>
      <c r="B22" s="74">
        <v>5683</v>
      </c>
      <c r="C22" s="74">
        <v>333</v>
      </c>
      <c r="D22" s="77">
        <v>5.8595812071089215E-2</v>
      </c>
      <c r="E22" s="74">
        <v>400</v>
      </c>
      <c r="F22" s="78">
        <v>7.0385359845152207E-2</v>
      </c>
      <c r="G22" s="74">
        <v>66</v>
      </c>
      <c r="H22" s="77">
        <v>1.1613584374450115E-2</v>
      </c>
      <c r="I22" s="74">
        <v>396</v>
      </c>
      <c r="J22" s="77">
        <v>6.9681506246700692E-2</v>
      </c>
      <c r="K22" s="74">
        <v>119</v>
      </c>
      <c r="L22" s="77">
        <v>2.0939644553932782E-2</v>
      </c>
      <c r="M22" s="74">
        <v>1733</v>
      </c>
      <c r="N22" s="77">
        <v>0.30494457152912197</v>
      </c>
      <c r="O22" s="74">
        <v>2636</v>
      </c>
      <c r="P22" s="77">
        <v>0.46383952137955303</v>
      </c>
      <c r="R22" s="76" t="s">
        <v>50</v>
      </c>
      <c r="S22" s="74">
        <v>5683</v>
      </c>
      <c r="T22" s="74">
        <v>333</v>
      </c>
      <c r="U22" s="123">
        <v>5.8595812071089215E-2</v>
      </c>
      <c r="V22" s="85">
        <f>E22+G22</f>
        <v>466</v>
      </c>
      <c r="W22" s="124">
        <f>F22+H22</f>
        <v>8.1998944219602327E-2</v>
      </c>
      <c r="X22" s="85">
        <f>I22+K22</f>
        <v>515</v>
      </c>
      <c r="Y22" s="78">
        <f>J22+L22</f>
        <v>9.0621150800633474E-2</v>
      </c>
      <c r="Z22" s="125">
        <v>1733</v>
      </c>
      <c r="AA22" s="77">
        <v>0.30494457152912197</v>
      </c>
      <c r="AB22" s="74">
        <v>2636</v>
      </c>
      <c r="AC22" s="77">
        <v>0.46383952137955303</v>
      </c>
      <c r="AD22" s="26"/>
    </row>
    <row r="23" spans="1:30" x14ac:dyDescent="0.2">
      <c r="A23" s="76" t="s">
        <v>33</v>
      </c>
      <c r="B23" s="74">
        <v>25276</v>
      </c>
      <c r="C23" s="74">
        <v>1650</v>
      </c>
      <c r="D23" s="77">
        <v>6.5279316347523347E-2</v>
      </c>
      <c r="E23" s="74">
        <v>4187</v>
      </c>
      <c r="F23" s="78">
        <v>0.16565121063459409</v>
      </c>
      <c r="G23" s="74">
        <v>700</v>
      </c>
      <c r="H23" s="77">
        <v>2.7694255420161417E-2</v>
      </c>
      <c r="I23" s="74">
        <v>3344</v>
      </c>
      <c r="J23" s="77">
        <v>0.13229941446431398</v>
      </c>
      <c r="K23" s="74">
        <v>1669</v>
      </c>
      <c r="L23" s="77">
        <v>6.6031017566070577E-2</v>
      </c>
      <c r="M23" s="74">
        <v>6592</v>
      </c>
      <c r="N23" s="77">
        <v>0.26080075961386295</v>
      </c>
      <c r="O23" s="74">
        <v>7134</v>
      </c>
      <c r="P23" s="77">
        <v>0.28224402595347364</v>
      </c>
      <c r="R23" s="76" t="s">
        <v>33</v>
      </c>
      <c r="S23" s="74">
        <v>25276</v>
      </c>
      <c r="T23" s="74">
        <v>1650</v>
      </c>
      <c r="U23" s="123">
        <v>6.5279316347523347E-2</v>
      </c>
      <c r="V23" s="85">
        <f>E23+G23</f>
        <v>4887</v>
      </c>
      <c r="W23" s="124">
        <f>F23+H23</f>
        <v>0.1933454660547555</v>
      </c>
      <c r="X23" s="85">
        <f>I23+K23</f>
        <v>5013</v>
      </c>
      <c r="Y23" s="78">
        <f>J23+L23</f>
        <v>0.19833043203038456</v>
      </c>
      <c r="Z23" s="125">
        <v>6592</v>
      </c>
      <c r="AA23" s="77">
        <v>0.26080075961386295</v>
      </c>
      <c r="AB23" s="74">
        <v>7134</v>
      </c>
      <c r="AC23" s="77">
        <v>0.28224402595347364</v>
      </c>
      <c r="AD23" s="26"/>
    </row>
    <row r="24" spans="1:30" x14ac:dyDescent="0.2">
      <c r="AD24" s="26"/>
    </row>
    <row r="25" spans="1:30" x14ac:dyDescent="0.2">
      <c r="AD25" s="26"/>
    </row>
    <row r="26" spans="1:30" x14ac:dyDescent="0.2">
      <c r="AD26" s="26"/>
    </row>
    <row r="27" spans="1:30" x14ac:dyDescent="0.2">
      <c r="AD27" s="26"/>
    </row>
    <row r="28" spans="1:30" x14ac:dyDescent="0.2">
      <c r="AD28" s="26"/>
    </row>
    <row r="30" spans="1:30" x14ac:dyDescent="0.2">
      <c r="A30" s="21" t="s">
        <v>34</v>
      </c>
    </row>
    <row r="31" spans="1:30" x14ac:dyDescent="0.2">
      <c r="A31" s="22" t="s">
        <v>96</v>
      </c>
    </row>
    <row r="32" spans="1:30" x14ac:dyDescent="0.2">
      <c r="A32" s="22" t="s">
        <v>97</v>
      </c>
    </row>
    <row r="33" spans="1:1" x14ac:dyDescent="0.2">
      <c r="A33" s="22" t="s">
        <v>98</v>
      </c>
    </row>
    <row r="34" spans="1:1" x14ac:dyDescent="0.2">
      <c r="A34" s="2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A9D08E"/>
  </sheetPr>
  <dimension ref="A1:W34"/>
  <sheetViews>
    <sheetView workbookViewId="0">
      <pane xSplit="1" topLeftCell="C1" activePane="topRight" state="frozen"/>
      <selection pane="topRight" activeCell="A2" sqref="A2:T23"/>
    </sheetView>
  </sheetViews>
  <sheetFormatPr baseColWidth="10" defaultColWidth="8.83203125" defaultRowHeight="15" x14ac:dyDescent="0.2"/>
  <cols>
    <col min="1" max="1" width="25.83203125" customWidth="1"/>
    <col min="2" max="2" width="11.83203125" hidden="1" customWidth="1"/>
    <col min="3" max="3" width="19" customWidth="1"/>
    <col min="4" max="4" width="9.5" customWidth="1"/>
    <col min="5" max="5" width="22" customWidth="1"/>
    <col min="6" max="6" width="8.83203125" customWidth="1"/>
    <col min="7" max="7" width="21.33203125" hidden="1" customWidth="1"/>
    <col min="8" max="8" width="9.5" hidden="1" customWidth="1"/>
    <col min="9" max="9" width="20.5" hidden="1" customWidth="1"/>
    <col min="10" max="10" width="9.6640625" hidden="1" customWidth="1"/>
    <col min="11" max="11" width="21.33203125" hidden="1" customWidth="1"/>
    <col min="12" max="12" width="11.6640625" hidden="1" customWidth="1"/>
    <col min="13" max="13" width="14.5" bestFit="1" customWidth="1"/>
    <col min="14" max="14" width="11.6640625" customWidth="1"/>
    <col min="15" max="15" width="18" customWidth="1"/>
    <col min="16" max="16" width="9.5" customWidth="1"/>
    <col min="17" max="17" width="18.83203125" customWidth="1"/>
    <col min="18" max="18" width="9.33203125" customWidth="1"/>
    <col min="19" max="19" width="13" customWidth="1"/>
    <col min="20" max="20" width="9.5" customWidth="1"/>
    <col min="21" max="21" width="11.83203125" style="56" bestFit="1" customWidth="1"/>
    <col min="22" max="22" width="9.1640625" style="56"/>
    <col min="23" max="23" width="20.5" bestFit="1" customWidth="1"/>
  </cols>
  <sheetData>
    <row r="1" spans="1:23" ht="48" x14ac:dyDescent="0.2">
      <c r="A1" s="37" t="s">
        <v>275</v>
      </c>
      <c r="B1" s="83" t="s">
        <v>99</v>
      </c>
      <c r="C1" s="83" t="s">
        <v>100</v>
      </c>
      <c r="D1" s="84" t="s">
        <v>101</v>
      </c>
      <c r="E1" s="83" t="s">
        <v>102</v>
      </c>
      <c r="F1" s="84" t="s">
        <v>103</v>
      </c>
      <c r="G1" s="83" t="s">
        <v>104</v>
      </c>
      <c r="H1" s="84" t="s">
        <v>103</v>
      </c>
      <c r="I1" s="83" t="s">
        <v>105</v>
      </c>
      <c r="J1" s="84" t="s">
        <v>103</v>
      </c>
      <c r="K1" s="83" t="s">
        <v>106</v>
      </c>
      <c r="L1" s="84" t="s">
        <v>103</v>
      </c>
      <c r="M1" s="84" t="s">
        <v>107</v>
      </c>
      <c r="N1" s="84" t="s">
        <v>103</v>
      </c>
      <c r="O1" s="83" t="s">
        <v>108</v>
      </c>
      <c r="P1" s="84" t="s">
        <v>103</v>
      </c>
      <c r="Q1" s="83" t="s">
        <v>109</v>
      </c>
      <c r="R1" s="84" t="s">
        <v>103</v>
      </c>
      <c r="S1" s="83" t="s">
        <v>110</v>
      </c>
      <c r="T1" s="84" t="s">
        <v>103</v>
      </c>
    </row>
    <row r="2" spans="1:23" x14ac:dyDescent="0.2">
      <c r="A2" s="76" t="s">
        <v>12</v>
      </c>
      <c r="B2" s="74">
        <v>19168</v>
      </c>
      <c r="C2" s="74">
        <v>10673</v>
      </c>
      <c r="D2" s="77">
        <v>0.5568134390651085</v>
      </c>
      <c r="E2" s="74">
        <v>16</v>
      </c>
      <c r="F2" s="77">
        <v>1.4991099034948E-3</v>
      </c>
      <c r="G2" s="74">
        <v>25</v>
      </c>
      <c r="H2" s="77">
        <v>2.3423592242106249E-3</v>
      </c>
      <c r="I2" s="74">
        <v>247</v>
      </c>
      <c r="J2" s="77">
        <v>2.3142509135200974E-2</v>
      </c>
      <c r="K2" s="74">
        <v>170</v>
      </c>
      <c r="L2" s="77">
        <v>1.592804272463225E-2</v>
      </c>
      <c r="M2" s="86">
        <v>442</v>
      </c>
      <c r="N2" s="77">
        <v>4.1412911084043852E-2</v>
      </c>
      <c r="O2" s="74">
        <v>144</v>
      </c>
      <c r="P2" s="77">
        <v>1.34919891314532E-2</v>
      </c>
      <c r="Q2" s="74">
        <v>6320</v>
      </c>
      <c r="R2" s="77">
        <v>0.59214841188044598</v>
      </c>
      <c r="S2" s="74">
        <v>3751</v>
      </c>
      <c r="T2" s="77">
        <v>0.35144757800056214</v>
      </c>
    </row>
    <row r="3" spans="1:23" x14ac:dyDescent="0.2">
      <c r="A3" s="76" t="s">
        <v>45</v>
      </c>
      <c r="B3" s="74">
        <v>17475</v>
      </c>
      <c r="C3" s="74">
        <v>4312</v>
      </c>
      <c r="D3" s="77">
        <v>0.24675250357653791</v>
      </c>
      <c r="E3" s="74">
        <v>98</v>
      </c>
      <c r="F3" s="77">
        <v>2.2727272727272728E-2</v>
      </c>
      <c r="G3" s="74">
        <v>39</v>
      </c>
      <c r="H3" s="77">
        <v>9.0445269016697586E-3</v>
      </c>
      <c r="I3" s="74">
        <v>216</v>
      </c>
      <c r="J3" s="77">
        <v>5.0092764378478663E-2</v>
      </c>
      <c r="K3" s="74">
        <v>245</v>
      </c>
      <c r="L3" s="77">
        <v>5.6818181818181816E-2</v>
      </c>
      <c r="M3" s="86">
        <v>500</v>
      </c>
      <c r="N3" s="77">
        <v>0.11595547309833024</v>
      </c>
      <c r="O3" s="74">
        <v>202</v>
      </c>
      <c r="P3" s="77">
        <v>4.6846011131725415E-2</v>
      </c>
      <c r="Q3" s="74">
        <v>2302</v>
      </c>
      <c r="R3" s="77">
        <v>0.53385899814471238</v>
      </c>
      <c r="S3" s="74">
        <v>1210</v>
      </c>
      <c r="T3" s="77">
        <v>0.28061224489795916</v>
      </c>
      <c r="U3" s="59"/>
      <c r="V3" s="60"/>
    </row>
    <row r="4" spans="1:23" x14ac:dyDescent="0.2">
      <c r="A4" s="76" t="s">
        <v>46</v>
      </c>
      <c r="B4" s="74">
        <v>9322</v>
      </c>
      <c r="C4" s="74">
        <v>1150</v>
      </c>
      <c r="D4" s="77">
        <v>0.12336408496030894</v>
      </c>
      <c r="E4" s="74">
        <v>111</v>
      </c>
      <c r="F4" s="77">
        <v>9.6521739130434783E-2</v>
      </c>
      <c r="G4" s="74">
        <v>58</v>
      </c>
      <c r="H4" s="77">
        <v>5.0434782608695654E-2</v>
      </c>
      <c r="I4" s="74">
        <v>198</v>
      </c>
      <c r="J4" s="77">
        <v>0.17217391304347826</v>
      </c>
      <c r="K4" s="74">
        <v>81</v>
      </c>
      <c r="L4" s="77">
        <v>7.0434782608695651E-2</v>
      </c>
      <c r="M4" s="86">
        <v>337</v>
      </c>
      <c r="N4" s="77">
        <v>0.29304347826086957</v>
      </c>
      <c r="O4" s="74">
        <v>99</v>
      </c>
      <c r="P4" s="77">
        <v>8.608695652173913E-2</v>
      </c>
      <c r="Q4" s="74">
        <v>203</v>
      </c>
      <c r="R4" s="77">
        <v>0.17652173913043478</v>
      </c>
      <c r="S4" s="74">
        <v>400</v>
      </c>
      <c r="T4" s="77">
        <v>0.34782608695652173</v>
      </c>
      <c r="U4" s="61"/>
      <c r="V4" s="57"/>
      <c r="W4" s="58"/>
    </row>
    <row r="5" spans="1:23" x14ac:dyDescent="0.2">
      <c r="A5" s="76" t="s">
        <v>15</v>
      </c>
      <c r="B5" s="74">
        <v>54036</v>
      </c>
      <c r="C5" s="74">
        <v>15553</v>
      </c>
      <c r="D5" s="77">
        <v>0.28782663409578801</v>
      </c>
      <c r="E5" s="74">
        <v>235</v>
      </c>
      <c r="F5" s="77">
        <v>1.5109625152703659E-2</v>
      </c>
      <c r="G5" s="74">
        <v>327</v>
      </c>
      <c r="H5" s="77">
        <v>2.1024882659294027E-2</v>
      </c>
      <c r="I5" s="74">
        <v>1150</v>
      </c>
      <c r="J5" s="77">
        <v>7.3940718832379598E-2</v>
      </c>
      <c r="K5" s="74">
        <v>965</v>
      </c>
      <c r="L5" s="77">
        <v>6.204590754195332E-2</v>
      </c>
      <c r="M5" s="86">
        <v>2442</v>
      </c>
      <c r="N5" s="77">
        <v>0.15701150903362696</v>
      </c>
      <c r="O5" s="74">
        <v>980</v>
      </c>
      <c r="P5" s="77">
        <v>6.3010351700636527E-2</v>
      </c>
      <c r="Q5" s="74">
        <v>6133</v>
      </c>
      <c r="R5" s="77">
        <v>0.3943290683469427</v>
      </c>
      <c r="S5" s="74">
        <v>5763</v>
      </c>
      <c r="T5" s="77">
        <v>0.37053944576609016</v>
      </c>
      <c r="U5" s="61"/>
      <c r="V5" s="57"/>
      <c r="W5" s="58"/>
    </row>
    <row r="6" spans="1:23" x14ac:dyDescent="0.2">
      <c r="A6" s="76" t="s">
        <v>16</v>
      </c>
      <c r="B6" s="74">
        <v>18711</v>
      </c>
      <c r="C6" s="74">
        <v>3344</v>
      </c>
      <c r="D6" s="77">
        <v>0.17871840094062316</v>
      </c>
      <c r="E6" s="74">
        <v>503</v>
      </c>
      <c r="F6" s="77">
        <v>0.15041866028708134</v>
      </c>
      <c r="G6" s="74">
        <v>346</v>
      </c>
      <c r="H6" s="77">
        <v>0.1034688995215311</v>
      </c>
      <c r="I6" s="74">
        <v>726</v>
      </c>
      <c r="J6" s="77">
        <v>0.21710526315789475</v>
      </c>
      <c r="K6" s="74">
        <v>549</v>
      </c>
      <c r="L6" s="77">
        <v>0.16417464114832536</v>
      </c>
      <c r="M6" s="86">
        <v>1621</v>
      </c>
      <c r="N6" s="77">
        <v>0.48474880382775121</v>
      </c>
      <c r="O6" s="74">
        <v>387</v>
      </c>
      <c r="P6" s="77">
        <v>0.11572966507177034</v>
      </c>
      <c r="Q6" s="74">
        <v>312</v>
      </c>
      <c r="R6" s="77">
        <v>9.3301435406698566E-2</v>
      </c>
      <c r="S6" s="74">
        <v>521</v>
      </c>
      <c r="T6" s="77">
        <v>0.15580143540669855</v>
      </c>
      <c r="U6" s="61"/>
      <c r="V6" s="57"/>
      <c r="W6" s="58"/>
    </row>
    <row r="7" spans="1:23" x14ac:dyDescent="0.2">
      <c r="A7" s="76" t="s">
        <v>17</v>
      </c>
      <c r="B7" s="74">
        <v>122192</v>
      </c>
      <c r="C7" s="74">
        <v>32935</v>
      </c>
      <c r="D7" s="77">
        <v>0.26953483043079746</v>
      </c>
      <c r="E7" s="74">
        <v>1337</v>
      </c>
      <c r="F7" s="77">
        <v>4.059511158342189E-2</v>
      </c>
      <c r="G7" s="74">
        <v>2283</v>
      </c>
      <c r="H7" s="77">
        <v>6.9318354334294827E-2</v>
      </c>
      <c r="I7" s="74">
        <v>6088</v>
      </c>
      <c r="J7" s="77">
        <v>0.18484894489145287</v>
      </c>
      <c r="K7" s="74">
        <v>6291</v>
      </c>
      <c r="L7" s="77">
        <v>0.19101260057689387</v>
      </c>
      <c r="M7" s="86">
        <v>14662</v>
      </c>
      <c r="N7" s="77">
        <v>0.44517989980264155</v>
      </c>
      <c r="O7" s="74">
        <v>6897</v>
      </c>
      <c r="P7" s="77">
        <v>0.20941247912555033</v>
      </c>
      <c r="Q7" s="74">
        <v>7814</v>
      </c>
      <c r="R7" s="77">
        <v>0.23725519963564598</v>
      </c>
      <c r="S7" s="74">
        <v>2225</v>
      </c>
      <c r="T7" s="77">
        <v>6.7557309852740249E-2</v>
      </c>
      <c r="U7" s="61"/>
      <c r="V7" s="57"/>
      <c r="W7" s="58"/>
    </row>
    <row r="8" spans="1:23" x14ac:dyDescent="0.2">
      <c r="A8" s="76" t="s">
        <v>18</v>
      </c>
      <c r="B8" s="74">
        <v>17847</v>
      </c>
      <c r="C8" s="74">
        <v>5745</v>
      </c>
      <c r="D8" s="77">
        <v>0.32190284081358211</v>
      </c>
      <c r="E8" s="74">
        <v>150</v>
      </c>
      <c r="F8" s="77">
        <v>2.6109660574412531E-2</v>
      </c>
      <c r="G8" s="74">
        <v>146</v>
      </c>
      <c r="H8" s="77">
        <v>2.5413402959094864E-2</v>
      </c>
      <c r="I8" s="74">
        <v>309</v>
      </c>
      <c r="J8" s="77">
        <v>5.3785900783289819E-2</v>
      </c>
      <c r="K8" s="74">
        <v>237</v>
      </c>
      <c r="L8" s="77">
        <v>4.1253263707571798E-2</v>
      </c>
      <c r="M8" s="86">
        <v>692</v>
      </c>
      <c r="N8" s="77">
        <v>0.12045256744995649</v>
      </c>
      <c r="O8" s="74">
        <v>106</v>
      </c>
      <c r="P8" s="77">
        <v>1.845082680591819E-2</v>
      </c>
      <c r="Q8" s="74">
        <v>3663</v>
      </c>
      <c r="R8" s="77">
        <v>0.63759791122715403</v>
      </c>
      <c r="S8" s="74">
        <v>1134</v>
      </c>
      <c r="T8" s="77">
        <v>0.19738903394255874</v>
      </c>
      <c r="U8" s="61"/>
      <c r="V8" s="57"/>
      <c r="W8" s="58"/>
    </row>
    <row r="9" spans="1:23" x14ac:dyDescent="0.2">
      <c r="A9" s="76" t="s">
        <v>19</v>
      </c>
      <c r="B9" s="74">
        <v>45775</v>
      </c>
      <c r="C9" s="74">
        <v>10676</v>
      </c>
      <c r="D9" s="77">
        <v>0.23322774440196614</v>
      </c>
      <c r="E9" s="74">
        <v>763</v>
      </c>
      <c r="F9" s="77">
        <v>7.1468714874484821E-2</v>
      </c>
      <c r="G9" s="74">
        <v>627</v>
      </c>
      <c r="H9" s="77">
        <v>5.872986137130011E-2</v>
      </c>
      <c r="I9" s="74">
        <v>2173</v>
      </c>
      <c r="J9" s="77">
        <v>0.20354065192956164</v>
      </c>
      <c r="K9" s="74">
        <v>2122</v>
      </c>
      <c r="L9" s="77">
        <v>0.19876358186586737</v>
      </c>
      <c r="M9" s="86">
        <v>4922</v>
      </c>
      <c r="N9" s="77">
        <v>0.46103409516672911</v>
      </c>
      <c r="O9" s="74">
        <v>1713</v>
      </c>
      <c r="P9" s="77">
        <v>0.16045335331584865</v>
      </c>
      <c r="Q9" s="74">
        <v>2081</v>
      </c>
      <c r="R9" s="77">
        <v>0.19492319220681903</v>
      </c>
      <c r="S9" s="74">
        <v>1197</v>
      </c>
      <c r="T9" s="77">
        <v>0.1121206444361184</v>
      </c>
      <c r="U9" s="61"/>
      <c r="V9" s="57"/>
      <c r="W9" s="58"/>
    </row>
    <row r="10" spans="1:23" x14ac:dyDescent="0.2">
      <c r="A10" s="76" t="s">
        <v>20</v>
      </c>
      <c r="B10" s="74">
        <v>33378</v>
      </c>
      <c r="C10" s="74">
        <v>21706</v>
      </c>
      <c r="D10" s="77">
        <v>0.65030858649409795</v>
      </c>
      <c r="E10" s="74">
        <v>21</v>
      </c>
      <c r="F10" s="77">
        <v>9.6747443103289412E-4</v>
      </c>
      <c r="G10" s="74">
        <v>0</v>
      </c>
      <c r="H10" s="77">
        <v>0</v>
      </c>
      <c r="I10" s="74">
        <v>151</v>
      </c>
      <c r="J10" s="77">
        <v>6.9566018612365246E-3</v>
      </c>
      <c r="K10" s="74">
        <v>110</v>
      </c>
      <c r="L10" s="77">
        <v>5.0677232101723028E-3</v>
      </c>
      <c r="M10" s="86">
        <v>261</v>
      </c>
      <c r="N10" s="77">
        <v>1.2024325071408827E-2</v>
      </c>
      <c r="O10" s="74">
        <v>218</v>
      </c>
      <c r="P10" s="77">
        <v>1.0043305998341473E-2</v>
      </c>
      <c r="Q10" s="74">
        <v>17773</v>
      </c>
      <c r="R10" s="77">
        <v>0.81880586013083945</v>
      </c>
      <c r="S10" s="74">
        <v>3433</v>
      </c>
      <c r="T10" s="77">
        <v>0.15815903436837742</v>
      </c>
      <c r="U10" s="61"/>
      <c r="V10" s="57"/>
      <c r="W10" s="58"/>
    </row>
    <row r="11" spans="1:23" x14ac:dyDescent="0.2">
      <c r="A11" s="76" t="s">
        <v>21</v>
      </c>
      <c r="B11" s="74">
        <v>37832</v>
      </c>
      <c r="C11" s="74">
        <v>11218</v>
      </c>
      <c r="D11" s="77">
        <v>0.29652146331148233</v>
      </c>
      <c r="E11" s="74">
        <v>460</v>
      </c>
      <c r="F11" s="77">
        <v>4.1005526831877338E-2</v>
      </c>
      <c r="G11" s="74">
        <v>889</v>
      </c>
      <c r="H11" s="77">
        <v>7.9247637725084683E-2</v>
      </c>
      <c r="I11" s="74">
        <v>1829</v>
      </c>
      <c r="J11" s="77">
        <v>0.16304154038152968</v>
      </c>
      <c r="K11" s="74">
        <v>2135</v>
      </c>
      <c r="L11" s="77">
        <v>0.19031912996969158</v>
      </c>
      <c r="M11" s="86">
        <v>4853</v>
      </c>
      <c r="N11" s="77">
        <v>0.43260830807630596</v>
      </c>
      <c r="O11" s="74">
        <v>2243</v>
      </c>
      <c r="P11" s="77">
        <v>0.19994651453021928</v>
      </c>
      <c r="Q11" s="74">
        <v>2769</v>
      </c>
      <c r="R11" s="77">
        <v>0.24683544303797469</v>
      </c>
      <c r="S11" s="74">
        <v>893</v>
      </c>
      <c r="T11" s="77">
        <v>7.9604207523622753E-2</v>
      </c>
      <c r="U11" s="61"/>
      <c r="V11" s="57"/>
      <c r="W11" s="58"/>
    </row>
    <row r="12" spans="1:23" x14ac:dyDescent="0.2">
      <c r="A12" s="76" t="s">
        <v>22</v>
      </c>
      <c r="B12" s="74">
        <v>39342</v>
      </c>
      <c r="C12" s="74">
        <v>8677</v>
      </c>
      <c r="D12" s="77">
        <v>0.22055309846982868</v>
      </c>
      <c r="E12" s="74">
        <v>749</v>
      </c>
      <c r="F12" s="77">
        <v>8.6320156736199152E-2</v>
      </c>
      <c r="G12" s="74">
        <v>505</v>
      </c>
      <c r="H12" s="77">
        <v>5.8199838653912643E-2</v>
      </c>
      <c r="I12" s="74">
        <v>1257</v>
      </c>
      <c r="J12" s="77">
        <v>0.1448657370058776</v>
      </c>
      <c r="K12" s="74">
        <v>998</v>
      </c>
      <c r="L12" s="77">
        <v>0.11501671084476202</v>
      </c>
      <c r="M12" s="86">
        <v>2760</v>
      </c>
      <c r="N12" s="77">
        <v>0.31808228650455228</v>
      </c>
      <c r="O12" s="74">
        <v>1397</v>
      </c>
      <c r="P12" s="77">
        <v>0.16100034574161576</v>
      </c>
      <c r="Q12" s="74">
        <v>2104</v>
      </c>
      <c r="R12" s="77">
        <v>0.24248011985709347</v>
      </c>
      <c r="S12" s="74">
        <v>1667</v>
      </c>
      <c r="T12" s="77">
        <v>0.19211709116053935</v>
      </c>
      <c r="U12" s="61"/>
      <c r="V12" s="57"/>
      <c r="W12" s="58"/>
    </row>
    <row r="13" spans="1:23" x14ac:dyDescent="0.2">
      <c r="A13" s="76" t="s">
        <v>23</v>
      </c>
      <c r="B13" s="74">
        <v>5347</v>
      </c>
      <c r="C13" s="74">
        <v>5072</v>
      </c>
      <c r="D13" s="77">
        <v>0.94856929119132227</v>
      </c>
      <c r="E13" s="74">
        <v>4</v>
      </c>
      <c r="F13" s="77">
        <v>7.8864353312302837E-4</v>
      </c>
      <c r="G13" s="74">
        <v>0</v>
      </c>
      <c r="H13" s="77">
        <v>0</v>
      </c>
      <c r="I13" s="74">
        <v>0</v>
      </c>
      <c r="J13" s="77">
        <v>0</v>
      </c>
      <c r="K13" s="74">
        <v>0</v>
      </c>
      <c r="L13" s="77">
        <v>0</v>
      </c>
      <c r="M13" s="86">
        <v>0</v>
      </c>
      <c r="N13" s="77">
        <v>0</v>
      </c>
      <c r="O13" s="74">
        <v>0</v>
      </c>
      <c r="P13" s="77">
        <v>0</v>
      </c>
      <c r="Q13" s="74">
        <v>4516</v>
      </c>
      <c r="R13" s="77">
        <v>0.89037854889589907</v>
      </c>
      <c r="S13" s="74">
        <v>552</v>
      </c>
      <c r="T13" s="77">
        <v>0.10883280757097792</v>
      </c>
      <c r="U13" s="61"/>
      <c r="V13" s="57"/>
      <c r="W13" s="58"/>
    </row>
    <row r="14" spans="1:23" x14ac:dyDescent="0.2">
      <c r="A14" s="76" t="s">
        <v>24</v>
      </c>
      <c r="B14" s="74">
        <v>25368</v>
      </c>
      <c r="C14" s="74">
        <v>7199</v>
      </c>
      <c r="D14" s="77">
        <v>0.28378271838536739</v>
      </c>
      <c r="E14" s="74">
        <v>387</v>
      </c>
      <c r="F14" s="77">
        <v>5.3757466314765939E-2</v>
      </c>
      <c r="G14" s="74">
        <v>536</v>
      </c>
      <c r="H14" s="77">
        <v>7.445478538685929E-2</v>
      </c>
      <c r="I14" s="74">
        <v>1324</v>
      </c>
      <c r="J14" s="77">
        <v>0.18391443256007778</v>
      </c>
      <c r="K14" s="74">
        <v>1328</v>
      </c>
      <c r="L14" s="77">
        <v>0.1844700652868454</v>
      </c>
      <c r="M14" s="86">
        <v>3188</v>
      </c>
      <c r="N14" s="77">
        <v>0.44283928323378247</v>
      </c>
      <c r="O14" s="74">
        <v>1922</v>
      </c>
      <c r="P14" s="77">
        <v>0.26698152521183499</v>
      </c>
      <c r="Q14" s="74">
        <v>1394</v>
      </c>
      <c r="R14" s="77">
        <v>0.19363800527851091</v>
      </c>
      <c r="S14" s="74">
        <v>308</v>
      </c>
      <c r="T14" s="77">
        <v>4.2783719961105707E-2</v>
      </c>
      <c r="U14" s="61"/>
      <c r="V14" s="57"/>
      <c r="W14" s="58"/>
    </row>
    <row r="15" spans="1:23" x14ac:dyDescent="0.2">
      <c r="A15" s="76" t="s">
        <v>47</v>
      </c>
      <c r="B15" s="74">
        <v>17283</v>
      </c>
      <c r="C15" s="74">
        <v>8157</v>
      </c>
      <c r="D15" s="77">
        <v>0.47196667245269919</v>
      </c>
      <c r="E15" s="74">
        <v>157</v>
      </c>
      <c r="F15" s="77">
        <v>1.9247272281476033E-2</v>
      </c>
      <c r="G15" s="74">
        <v>135</v>
      </c>
      <c r="H15" s="77">
        <v>1.655020228025009E-2</v>
      </c>
      <c r="I15" s="74">
        <v>270</v>
      </c>
      <c r="J15" s="77">
        <v>3.3100404560500181E-2</v>
      </c>
      <c r="K15" s="74">
        <v>377</v>
      </c>
      <c r="L15" s="77">
        <v>4.6217972293735442E-2</v>
      </c>
      <c r="M15" s="86">
        <v>782</v>
      </c>
      <c r="N15" s="77">
        <v>9.5868579134485724E-2</v>
      </c>
      <c r="O15" s="74">
        <v>634</v>
      </c>
      <c r="P15" s="77">
        <v>7.7724653671693025E-2</v>
      </c>
      <c r="Q15" s="74">
        <v>4825</v>
      </c>
      <c r="R15" s="77">
        <v>0.59151648890523478</v>
      </c>
      <c r="S15" s="74">
        <v>1759</v>
      </c>
      <c r="T15" s="77">
        <v>0.21564300600711045</v>
      </c>
      <c r="U15" s="61"/>
      <c r="V15" s="57"/>
      <c r="W15" s="58"/>
    </row>
    <row r="16" spans="1:23" x14ac:dyDescent="0.2">
      <c r="A16" s="76" t="s">
        <v>48</v>
      </c>
      <c r="B16" s="74">
        <v>8611</v>
      </c>
      <c r="C16" s="74">
        <v>1374</v>
      </c>
      <c r="D16" s="77">
        <v>0.15956334920450588</v>
      </c>
      <c r="E16" s="74">
        <v>27</v>
      </c>
      <c r="F16" s="77">
        <v>1.9650655021834062E-2</v>
      </c>
      <c r="G16" s="74">
        <v>56</v>
      </c>
      <c r="H16" s="77">
        <v>4.0756914119359534E-2</v>
      </c>
      <c r="I16" s="74">
        <v>93</v>
      </c>
      <c r="J16" s="77">
        <v>6.768558951965066E-2</v>
      </c>
      <c r="K16" s="74">
        <v>153</v>
      </c>
      <c r="L16" s="77">
        <v>0.11135371179039301</v>
      </c>
      <c r="M16" s="86">
        <v>302</v>
      </c>
      <c r="N16" s="77">
        <v>0.2197962154294032</v>
      </c>
      <c r="O16" s="74">
        <v>17</v>
      </c>
      <c r="P16" s="77">
        <v>1.2372634643377001E-2</v>
      </c>
      <c r="Q16" s="74">
        <v>433</v>
      </c>
      <c r="R16" s="77">
        <v>0.31513828238719066</v>
      </c>
      <c r="S16" s="74">
        <v>595</v>
      </c>
      <c r="T16" s="77">
        <v>0.43304221251819502</v>
      </c>
      <c r="U16" s="61"/>
      <c r="V16" s="57"/>
      <c r="W16" s="58"/>
    </row>
    <row r="17" spans="1:23" x14ac:dyDescent="0.2">
      <c r="A17" s="76" t="s">
        <v>27</v>
      </c>
      <c r="B17" s="74">
        <v>28980</v>
      </c>
      <c r="C17" s="74">
        <v>6686</v>
      </c>
      <c r="D17" s="77">
        <v>0.23071083505866113</v>
      </c>
      <c r="E17" s="74">
        <v>372</v>
      </c>
      <c r="F17" s="77">
        <v>5.5638647921029016E-2</v>
      </c>
      <c r="G17" s="74">
        <v>398</v>
      </c>
      <c r="H17" s="77">
        <v>5.9527370625186961E-2</v>
      </c>
      <c r="I17" s="74">
        <v>1518</v>
      </c>
      <c r="J17" s="77">
        <v>0.22704157941968292</v>
      </c>
      <c r="K17" s="74">
        <v>1277</v>
      </c>
      <c r="L17" s="77">
        <v>0.19099611127729585</v>
      </c>
      <c r="M17" s="86">
        <v>3193</v>
      </c>
      <c r="N17" s="77">
        <v>0.4775650613221657</v>
      </c>
      <c r="O17" s="74">
        <v>1335</v>
      </c>
      <c r="P17" s="77">
        <v>0.1996709542327251</v>
      </c>
      <c r="Q17" s="74">
        <v>1230</v>
      </c>
      <c r="R17" s="77">
        <v>0.18396649715824109</v>
      </c>
      <c r="S17" s="74">
        <v>556</v>
      </c>
      <c r="T17" s="77">
        <v>8.3158839365839066E-2</v>
      </c>
      <c r="U17" s="61"/>
      <c r="V17" s="57"/>
      <c r="W17" s="58"/>
    </row>
    <row r="18" spans="1:23" x14ac:dyDescent="0.2">
      <c r="A18" s="76" t="s">
        <v>28</v>
      </c>
      <c r="B18" s="74">
        <v>52206</v>
      </c>
      <c r="C18" s="74">
        <v>17010</v>
      </c>
      <c r="D18" s="77">
        <v>0.3258246178600161</v>
      </c>
      <c r="E18" s="74">
        <v>543</v>
      </c>
      <c r="F18" s="77">
        <v>3.1922398589065253E-2</v>
      </c>
      <c r="G18" s="74">
        <v>834</v>
      </c>
      <c r="H18" s="77">
        <v>4.9029982363315697E-2</v>
      </c>
      <c r="I18" s="74">
        <v>2854</v>
      </c>
      <c r="J18" s="77">
        <v>0.16778365667254555</v>
      </c>
      <c r="K18" s="74">
        <v>2733</v>
      </c>
      <c r="L18" s="77">
        <v>0.16067019400352733</v>
      </c>
      <c r="M18" s="86">
        <v>6421</v>
      </c>
      <c r="N18" s="77">
        <v>0.37748383303938859</v>
      </c>
      <c r="O18" s="74">
        <v>2870</v>
      </c>
      <c r="P18" s="77">
        <v>0.16872427983539096</v>
      </c>
      <c r="Q18" s="74">
        <v>5898</v>
      </c>
      <c r="R18" s="77">
        <v>0.34673721340388008</v>
      </c>
      <c r="S18" s="74">
        <v>1278</v>
      </c>
      <c r="T18" s="77">
        <v>7.5132275132275134E-2</v>
      </c>
      <c r="U18" s="61"/>
      <c r="V18" s="57"/>
      <c r="W18" s="58"/>
    </row>
    <row r="19" spans="1:23" x14ac:dyDescent="0.2">
      <c r="A19" s="76" t="s">
        <v>29</v>
      </c>
      <c r="B19" s="74">
        <v>35475</v>
      </c>
      <c r="C19" s="74">
        <v>5584</v>
      </c>
      <c r="D19" s="77">
        <v>0.15740662438336858</v>
      </c>
      <c r="E19" s="74">
        <v>490</v>
      </c>
      <c r="F19" s="77">
        <v>8.7750716332378229E-2</v>
      </c>
      <c r="G19" s="74">
        <v>224</v>
      </c>
      <c r="H19" s="77">
        <v>4.0114613180515762E-2</v>
      </c>
      <c r="I19" s="74">
        <v>898</v>
      </c>
      <c r="J19" s="77">
        <v>0.1608166189111748</v>
      </c>
      <c r="K19" s="74">
        <v>732</v>
      </c>
      <c r="L19" s="77">
        <v>0.1310888252148997</v>
      </c>
      <c r="M19" s="86">
        <v>1854</v>
      </c>
      <c r="N19" s="77">
        <v>0.33202005730659023</v>
      </c>
      <c r="O19" s="74">
        <v>790</v>
      </c>
      <c r="P19" s="77">
        <v>0.1414756446991404</v>
      </c>
      <c r="Q19" s="74">
        <v>1088</v>
      </c>
      <c r="R19" s="77">
        <v>0.19484240687679083</v>
      </c>
      <c r="S19" s="74">
        <v>1362</v>
      </c>
      <c r="T19" s="77">
        <v>0.2439111747851003</v>
      </c>
      <c r="U19" s="61"/>
      <c r="V19" s="57"/>
      <c r="W19" s="58"/>
    </row>
    <row r="20" spans="1:23" x14ac:dyDescent="0.2">
      <c r="A20" s="76" t="s">
        <v>30</v>
      </c>
      <c r="B20" s="74">
        <v>4293</v>
      </c>
      <c r="C20" s="74">
        <v>276</v>
      </c>
      <c r="D20" s="77">
        <v>6.4290705800139764E-2</v>
      </c>
      <c r="E20" s="74">
        <v>2</v>
      </c>
      <c r="F20" s="77">
        <v>7.246376811594203E-3</v>
      </c>
      <c r="G20" s="74">
        <v>14</v>
      </c>
      <c r="H20" s="77">
        <v>5.0724637681159424E-2</v>
      </c>
      <c r="I20" s="74">
        <v>12</v>
      </c>
      <c r="J20" s="77">
        <v>4.3478260869565216E-2</v>
      </c>
      <c r="K20" s="74">
        <v>22</v>
      </c>
      <c r="L20" s="77">
        <v>7.9710144927536225E-2</v>
      </c>
      <c r="M20" s="86">
        <v>48</v>
      </c>
      <c r="N20" s="77">
        <v>0.17391304347826086</v>
      </c>
      <c r="O20" s="74">
        <v>34</v>
      </c>
      <c r="P20" s="77">
        <v>0.12318840579710146</v>
      </c>
      <c r="Q20" s="74">
        <v>99</v>
      </c>
      <c r="R20" s="77">
        <v>0.35869565217391303</v>
      </c>
      <c r="S20" s="74">
        <v>93</v>
      </c>
      <c r="T20" s="77">
        <v>0.33695652173913043</v>
      </c>
      <c r="U20" s="61"/>
      <c r="V20" s="57"/>
      <c r="W20" s="58"/>
    </row>
    <row r="21" spans="1:23" x14ac:dyDescent="0.2">
      <c r="A21" s="76" t="s">
        <v>49</v>
      </c>
      <c r="B21" s="74">
        <v>31610</v>
      </c>
      <c r="C21" s="74">
        <v>6138</v>
      </c>
      <c r="D21" s="77">
        <v>0.19417905726036064</v>
      </c>
      <c r="E21" s="74">
        <v>401</v>
      </c>
      <c r="F21" s="77">
        <v>6.5330726621049204E-2</v>
      </c>
      <c r="G21" s="74">
        <v>320</v>
      </c>
      <c r="H21" s="77">
        <v>5.2134245682632779E-2</v>
      </c>
      <c r="I21" s="74">
        <v>825</v>
      </c>
      <c r="J21" s="77">
        <v>0.13440860215053763</v>
      </c>
      <c r="K21" s="74">
        <v>778</v>
      </c>
      <c r="L21" s="77">
        <v>0.12675138481590095</v>
      </c>
      <c r="M21" s="86">
        <v>1923</v>
      </c>
      <c r="N21" s="77">
        <v>0.31329423264907136</v>
      </c>
      <c r="O21" s="74">
        <v>716</v>
      </c>
      <c r="P21" s="77">
        <v>0.11665037471489084</v>
      </c>
      <c r="Q21" s="74">
        <v>1429</v>
      </c>
      <c r="R21" s="77">
        <v>0.232811990876507</v>
      </c>
      <c r="S21" s="74">
        <v>1669</v>
      </c>
      <c r="T21" s="77">
        <v>0.27191267513848161</v>
      </c>
      <c r="U21" s="61"/>
      <c r="V21" s="57"/>
      <c r="W21" s="58"/>
    </row>
    <row r="22" spans="1:23" x14ac:dyDescent="0.2">
      <c r="A22" s="76" t="s">
        <v>50</v>
      </c>
      <c r="B22" s="74">
        <v>6495</v>
      </c>
      <c r="C22" s="74">
        <v>938</v>
      </c>
      <c r="D22" s="77">
        <v>0.14441878367975367</v>
      </c>
      <c r="E22" s="74">
        <v>61</v>
      </c>
      <c r="F22" s="77">
        <v>6.5031982942430705E-2</v>
      </c>
      <c r="G22" s="74">
        <v>0</v>
      </c>
      <c r="H22" s="77">
        <v>0</v>
      </c>
      <c r="I22" s="74">
        <v>92</v>
      </c>
      <c r="J22" s="77">
        <v>9.8081023454157784E-2</v>
      </c>
      <c r="K22" s="74">
        <v>44</v>
      </c>
      <c r="L22" s="77">
        <v>4.6908315565031986E-2</v>
      </c>
      <c r="M22" s="86">
        <v>136</v>
      </c>
      <c r="N22" s="77">
        <v>0.14498933901918976</v>
      </c>
      <c r="O22" s="74">
        <v>59</v>
      </c>
      <c r="P22" s="77">
        <v>6.2899786780383798E-2</v>
      </c>
      <c r="Q22" s="74">
        <v>312</v>
      </c>
      <c r="R22" s="77">
        <v>0.3326226012793177</v>
      </c>
      <c r="S22" s="74">
        <v>370</v>
      </c>
      <c r="T22" s="77">
        <v>0.39445628997867804</v>
      </c>
      <c r="U22" s="61"/>
      <c r="V22" s="57"/>
      <c r="W22" s="58"/>
    </row>
    <row r="23" spans="1:23" x14ac:dyDescent="0.2">
      <c r="A23" s="76" t="s">
        <v>33</v>
      </c>
      <c r="B23" s="74">
        <v>32173</v>
      </c>
      <c r="C23" s="74">
        <v>7636</v>
      </c>
      <c r="D23" s="77">
        <v>0.23734187051254158</v>
      </c>
      <c r="E23" s="74">
        <v>621</v>
      </c>
      <c r="F23" s="77">
        <v>8.1325301204819275E-2</v>
      </c>
      <c r="G23" s="74">
        <v>718</v>
      </c>
      <c r="H23" s="77">
        <v>9.4028287061288629E-2</v>
      </c>
      <c r="I23" s="74">
        <v>1095</v>
      </c>
      <c r="J23" s="77">
        <v>0.14339968569931902</v>
      </c>
      <c r="K23" s="74">
        <v>1389</v>
      </c>
      <c r="L23" s="77">
        <v>0.18190151911995808</v>
      </c>
      <c r="M23" s="86">
        <v>3202</v>
      </c>
      <c r="N23" s="77">
        <v>0.41932949188056573</v>
      </c>
      <c r="O23" s="74">
        <v>1670</v>
      </c>
      <c r="P23" s="77">
        <v>0.21870089051859612</v>
      </c>
      <c r="Q23" s="74">
        <v>1441</v>
      </c>
      <c r="R23" s="77">
        <v>0.18871136720796228</v>
      </c>
      <c r="S23" s="74">
        <v>702</v>
      </c>
      <c r="T23" s="77">
        <v>9.193294918805657E-2</v>
      </c>
      <c r="U23" s="61"/>
      <c r="V23" s="57"/>
      <c r="W23" s="58"/>
    </row>
    <row r="24" spans="1:23" x14ac:dyDescent="0.2">
      <c r="U24" s="61"/>
      <c r="V24" s="57"/>
      <c r="W24" s="58"/>
    </row>
    <row r="25" spans="1:23" x14ac:dyDescent="0.2">
      <c r="U25" s="61"/>
      <c r="V25" s="57"/>
      <c r="W25" s="58"/>
    </row>
    <row r="26" spans="1:23" x14ac:dyDescent="0.2">
      <c r="U26" s="61"/>
      <c r="V26" s="57"/>
      <c r="W26" s="58"/>
    </row>
    <row r="27" spans="1:23" x14ac:dyDescent="0.2">
      <c r="U27" s="61"/>
      <c r="V27" s="57"/>
      <c r="W27" s="58"/>
    </row>
    <row r="28" spans="1:23" x14ac:dyDescent="0.2">
      <c r="U28" s="61"/>
      <c r="V28" s="57"/>
      <c r="W28" s="58"/>
    </row>
    <row r="30" spans="1:23" x14ac:dyDescent="0.2">
      <c r="A30" s="21" t="s">
        <v>34</v>
      </c>
    </row>
    <row r="31" spans="1:23" x14ac:dyDescent="0.2">
      <c r="A31" s="22" t="s">
        <v>111</v>
      </c>
    </row>
    <row r="32" spans="1:23" x14ac:dyDescent="0.2">
      <c r="A32" s="22" t="s">
        <v>112</v>
      </c>
    </row>
    <row r="33" spans="1:1" x14ac:dyDescent="0.2">
      <c r="A33" s="22" t="s">
        <v>113</v>
      </c>
    </row>
    <row r="34" spans="1:1" x14ac:dyDescent="0.2">
      <c r="A34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A9D08E"/>
  </sheetPr>
  <dimension ref="A1:AJ59"/>
  <sheetViews>
    <sheetView zoomScale="80" zoomScaleNormal="80" workbookViewId="0">
      <pane xSplit="1" topLeftCell="AF1" activePane="topRight" state="frozen"/>
      <selection pane="topRight" activeCell="AC42" sqref="AC42"/>
    </sheetView>
  </sheetViews>
  <sheetFormatPr baseColWidth="10" defaultColWidth="8.83203125" defaultRowHeight="15" x14ac:dyDescent="0.2"/>
  <cols>
    <col min="1" max="1" width="25.83203125" customWidth="1"/>
    <col min="2" max="2" width="14" hidden="1" customWidth="1"/>
    <col min="3" max="3" width="14.6640625" customWidth="1"/>
    <col min="5" max="5" width="12.5" customWidth="1"/>
    <col min="6" max="6" width="11" customWidth="1"/>
    <col min="7" max="7" width="12.6640625" hidden="1" customWidth="1"/>
    <col min="8" max="8" width="11.1640625" hidden="1" customWidth="1"/>
    <col min="9" max="9" width="13.5" hidden="1" customWidth="1"/>
    <col min="10" max="10" width="11.1640625" hidden="1" customWidth="1"/>
    <col min="11" max="11" width="11.5" hidden="1" customWidth="1"/>
    <col min="12" max="12" width="10.33203125" hidden="1" customWidth="1"/>
    <col min="13" max="13" width="10.33203125" customWidth="1"/>
    <col min="14" max="14" width="14.5" customWidth="1"/>
    <col min="15" max="16" width="13" customWidth="1"/>
    <col min="17" max="17" width="11.5" customWidth="1"/>
    <col min="18" max="18" width="13.5" customWidth="1"/>
    <col min="23" max="23" width="10.5" customWidth="1"/>
    <col min="24" max="24" width="12.1640625" customWidth="1"/>
    <col min="25" max="25" width="11.1640625" customWidth="1"/>
    <col min="26" max="26" width="9.5" customWidth="1"/>
    <col min="28" max="28" width="16.83203125" customWidth="1"/>
    <col min="33" max="33" width="27.5" customWidth="1"/>
    <col min="34" max="34" width="16.83203125" customWidth="1"/>
    <col min="35" max="35" width="13.33203125" customWidth="1"/>
    <col min="36" max="36" width="15.33203125" customWidth="1"/>
  </cols>
  <sheetData>
    <row r="1" spans="1:36" ht="19" x14ac:dyDescent="0.25">
      <c r="A1" s="38" t="s">
        <v>114</v>
      </c>
      <c r="E1" s="114"/>
      <c r="F1" s="115"/>
    </row>
    <row r="3" spans="1:36" ht="15" customHeight="1" x14ac:dyDescent="0.2">
      <c r="A3" s="135"/>
      <c r="B3" s="131" t="s">
        <v>115</v>
      </c>
      <c r="C3" s="131" t="s">
        <v>116</v>
      </c>
      <c r="D3" s="39"/>
      <c r="E3" s="131" t="s">
        <v>117</v>
      </c>
      <c r="F3" s="138" t="s">
        <v>3</v>
      </c>
      <c r="G3" s="137" t="s">
        <v>117</v>
      </c>
      <c r="H3" s="137"/>
      <c r="I3" s="137"/>
      <c r="J3" s="137"/>
      <c r="K3" s="137"/>
      <c r="L3" s="137"/>
      <c r="M3" s="131" t="s">
        <v>118</v>
      </c>
      <c r="N3" s="131" t="s">
        <v>3</v>
      </c>
      <c r="O3" s="130" t="s">
        <v>119</v>
      </c>
      <c r="P3" s="131" t="s">
        <v>3</v>
      </c>
      <c r="Q3" s="131" t="s">
        <v>120</v>
      </c>
      <c r="R3" s="131" t="s">
        <v>3</v>
      </c>
      <c r="S3" s="131" t="s">
        <v>121</v>
      </c>
      <c r="T3" s="131" t="s">
        <v>3</v>
      </c>
      <c r="U3" s="131" t="s">
        <v>122</v>
      </c>
      <c r="V3" s="131" t="s">
        <v>3</v>
      </c>
      <c r="W3" s="131" t="s">
        <v>123</v>
      </c>
      <c r="X3" s="131" t="s">
        <v>3</v>
      </c>
      <c r="Y3" s="133" t="s">
        <v>124</v>
      </c>
      <c r="Z3" s="130" t="s">
        <v>3</v>
      </c>
    </row>
    <row r="4" spans="1:36" ht="45" customHeight="1" x14ac:dyDescent="0.2">
      <c r="A4" s="136"/>
      <c r="B4" s="132"/>
      <c r="C4" s="132"/>
      <c r="D4" s="40" t="s">
        <v>3</v>
      </c>
      <c r="E4" s="132"/>
      <c r="F4" s="139"/>
      <c r="G4" s="120" t="s">
        <v>117</v>
      </c>
      <c r="H4" s="15" t="s">
        <v>125</v>
      </c>
      <c r="I4" s="120" t="s">
        <v>126</v>
      </c>
      <c r="J4" s="15" t="s">
        <v>127</v>
      </c>
      <c r="K4" s="120" t="s">
        <v>128</v>
      </c>
      <c r="L4" s="15" t="s">
        <v>127</v>
      </c>
      <c r="M4" s="132"/>
      <c r="N4" s="132"/>
      <c r="O4" s="130"/>
      <c r="P4" s="132"/>
      <c r="Q4" s="132"/>
      <c r="R4" s="132"/>
      <c r="S4" s="132"/>
      <c r="T4" s="132"/>
      <c r="U4" s="132"/>
      <c r="V4" s="132"/>
      <c r="W4" s="132"/>
      <c r="X4" s="132"/>
      <c r="Y4" s="134"/>
      <c r="Z4" s="130"/>
    </row>
    <row r="5" spans="1:36" x14ac:dyDescent="0.2">
      <c r="A5" s="25" t="s">
        <v>44</v>
      </c>
      <c r="B5" s="41">
        <v>152735781</v>
      </c>
      <c r="C5" s="41">
        <v>7898576</v>
      </c>
      <c r="D5" s="18">
        <v>5.1713985735929162E-2</v>
      </c>
      <c r="E5" s="41">
        <v>130348039</v>
      </c>
      <c r="F5" s="18">
        <v>0.85342175976433443</v>
      </c>
      <c r="G5" s="41">
        <v>130348039</v>
      </c>
      <c r="H5" s="18">
        <v>0.85342175976433443</v>
      </c>
      <c r="I5" s="41">
        <v>116584507</v>
      </c>
      <c r="J5" s="18">
        <v>0.89440936660351289</v>
      </c>
      <c r="K5" s="41">
        <v>13763532</v>
      </c>
      <c r="L5" s="18">
        <v>0.10559063339648708</v>
      </c>
      <c r="M5" s="41">
        <v>3664160</v>
      </c>
      <c r="N5" s="18">
        <v>2.3990187341890765E-2</v>
      </c>
      <c r="O5" s="55">
        <v>120334</v>
      </c>
      <c r="P5" s="18">
        <v>7.87857299790152E-4</v>
      </c>
      <c r="Q5" s="41">
        <v>2890308</v>
      </c>
      <c r="R5" s="18">
        <v>1.8923581501835512E-2</v>
      </c>
      <c r="S5" s="41">
        <v>902469</v>
      </c>
      <c r="T5" s="18">
        <v>5.9086940472710845E-3</v>
      </c>
      <c r="U5" s="41">
        <v>837646</v>
      </c>
      <c r="V5" s="18">
        <v>5.4842813813221671E-3</v>
      </c>
      <c r="W5" s="41">
        <v>4073891</v>
      </c>
      <c r="X5" s="18">
        <v>2.6672800396391728E-2</v>
      </c>
      <c r="Y5" s="42">
        <v>2000358</v>
      </c>
      <c r="Z5" s="18">
        <v>1.309685253123497E-2</v>
      </c>
    </row>
    <row r="6" spans="1:36" x14ac:dyDescent="0.2">
      <c r="A6" s="25" t="s">
        <v>10</v>
      </c>
      <c r="B6" s="41">
        <v>3545037</v>
      </c>
      <c r="C6" s="41">
        <v>182654</v>
      </c>
      <c r="D6" s="18">
        <v>5.1523862797482792E-2</v>
      </c>
      <c r="E6" s="41">
        <v>2743119</v>
      </c>
      <c r="F6" s="18">
        <v>0.77379135958242462</v>
      </c>
      <c r="G6" s="41">
        <v>2743119</v>
      </c>
      <c r="H6" s="18">
        <v>0.77379135958242462</v>
      </c>
      <c r="I6" s="41">
        <v>2478165</v>
      </c>
      <c r="J6" s="18">
        <v>0.90341140869207648</v>
      </c>
      <c r="K6" s="41">
        <v>264954</v>
      </c>
      <c r="L6" s="18">
        <v>9.6588591307923577E-2</v>
      </c>
      <c r="M6" s="41">
        <v>117886</v>
      </c>
      <c r="N6" s="18">
        <v>3.3253813711958437E-2</v>
      </c>
      <c r="O6" s="55">
        <v>6628</v>
      </c>
      <c r="P6" s="18">
        <v>1.8696560853948775E-3</v>
      </c>
      <c r="Q6" s="41">
        <v>174351</v>
      </c>
      <c r="R6" s="18">
        <v>4.9181715169686523E-2</v>
      </c>
      <c r="S6" s="41">
        <v>65570</v>
      </c>
      <c r="T6" s="18">
        <v>1.8496280856871168E-2</v>
      </c>
      <c r="U6" s="41">
        <v>30668</v>
      </c>
      <c r="V6" s="18">
        <v>8.6509675357408118E-3</v>
      </c>
      <c r="W6" s="41">
        <v>174438</v>
      </c>
      <c r="X6" s="18">
        <v>4.9206256521441102E-2</v>
      </c>
      <c r="Y6" s="41">
        <v>49723</v>
      </c>
      <c r="Z6" s="18">
        <v>1.4026087738999621E-2</v>
      </c>
      <c r="AC6" t="s">
        <v>129</v>
      </c>
      <c r="AD6" t="s">
        <v>130</v>
      </c>
      <c r="AE6" t="s">
        <v>131</v>
      </c>
      <c r="AG6" s="72"/>
      <c r="AH6" s="73" t="s">
        <v>129</v>
      </c>
      <c r="AI6" s="73" t="s">
        <v>130</v>
      </c>
      <c r="AJ6" s="73" t="s">
        <v>131</v>
      </c>
    </row>
    <row r="7" spans="1:36" x14ac:dyDescent="0.2">
      <c r="A7" s="16" t="s">
        <v>11</v>
      </c>
      <c r="B7" s="89">
        <v>374671</v>
      </c>
      <c r="C7" s="41">
        <v>12591</v>
      </c>
      <c r="D7" s="18">
        <v>3.3605483210603436E-2</v>
      </c>
      <c r="E7" s="41">
        <v>165614</v>
      </c>
      <c r="F7" s="18">
        <v>0.44202513671994897</v>
      </c>
      <c r="G7" s="41">
        <v>165614</v>
      </c>
      <c r="H7" s="18">
        <v>0.44202513671994897</v>
      </c>
      <c r="I7" s="41">
        <v>143405</v>
      </c>
      <c r="J7" s="18">
        <v>0.86589901819894455</v>
      </c>
      <c r="K7" s="41">
        <v>22209</v>
      </c>
      <c r="L7" s="18">
        <v>0.13410098180105548</v>
      </c>
      <c r="M7" s="41">
        <v>50707</v>
      </c>
      <c r="N7" s="18">
        <v>0.13533740268128572</v>
      </c>
      <c r="O7" s="55">
        <v>2725</v>
      </c>
      <c r="P7" s="18">
        <v>7.2730475537204639E-3</v>
      </c>
      <c r="Q7" s="41">
        <v>66675</v>
      </c>
      <c r="R7" s="18">
        <v>0.17795612684194934</v>
      </c>
      <c r="S7" s="41">
        <v>4304</v>
      </c>
      <c r="T7" s="18">
        <v>1.1487411622463441E-2</v>
      </c>
      <c r="U7" s="41">
        <v>8495</v>
      </c>
      <c r="V7" s="18">
        <v>2.2673225309671686E-2</v>
      </c>
      <c r="W7" s="41">
        <v>56622</v>
      </c>
      <c r="X7" s="18">
        <v>0.15112458663734316</v>
      </c>
      <c r="Y7" s="41">
        <v>6938</v>
      </c>
      <c r="Z7" s="18">
        <v>1.851757942301379E-2</v>
      </c>
      <c r="AB7" s="16" t="s">
        <v>11</v>
      </c>
      <c r="AC7" s="26">
        <f>N7+P7+R7+T7</f>
        <v>0.33205398869941893</v>
      </c>
      <c r="AD7" s="26">
        <f>N7</f>
        <v>0.13533740268128572</v>
      </c>
      <c r="AE7" s="26">
        <f>P7+R7+T7</f>
        <v>0.19671658601813324</v>
      </c>
      <c r="AG7" s="68" t="s">
        <v>11</v>
      </c>
      <c r="AH7" s="69"/>
      <c r="AI7" s="69"/>
      <c r="AJ7" s="69"/>
    </row>
    <row r="8" spans="1:36" x14ac:dyDescent="0.2">
      <c r="A8" s="19" t="s">
        <v>12</v>
      </c>
      <c r="B8" s="41">
        <v>10479</v>
      </c>
      <c r="C8" s="41">
        <v>375</v>
      </c>
      <c r="D8" s="18">
        <v>3.5785857429144002E-2</v>
      </c>
      <c r="E8" s="41">
        <v>2701</v>
      </c>
      <c r="F8" s="18">
        <v>0.25775360244298118</v>
      </c>
      <c r="G8" s="41">
        <v>2701</v>
      </c>
      <c r="H8" s="18">
        <v>0.25775360244298118</v>
      </c>
      <c r="I8" s="41">
        <v>2534</v>
      </c>
      <c r="J8" s="18">
        <v>0.93817104776008886</v>
      </c>
      <c r="K8" s="41">
        <v>167</v>
      </c>
      <c r="L8" s="18">
        <v>6.1828952239911146E-2</v>
      </c>
      <c r="M8" s="41">
        <v>1974</v>
      </c>
      <c r="N8" s="18">
        <v>0.18837675350701402</v>
      </c>
      <c r="O8" s="55">
        <v>290</v>
      </c>
      <c r="P8" s="18">
        <v>2.767439641187136E-2</v>
      </c>
      <c r="Q8" s="41">
        <v>1636</v>
      </c>
      <c r="R8" s="18">
        <v>0.15612176734421224</v>
      </c>
      <c r="S8" s="41">
        <v>106</v>
      </c>
      <c r="T8" s="18">
        <v>1.0115469033304705E-2</v>
      </c>
      <c r="U8" s="41">
        <v>617</v>
      </c>
      <c r="V8" s="18">
        <v>5.8879664090084931E-2</v>
      </c>
      <c r="W8" s="41">
        <v>2506</v>
      </c>
      <c r="X8" s="18">
        <v>0.23914495657982632</v>
      </c>
      <c r="Y8" s="41">
        <v>274</v>
      </c>
      <c r="Z8" s="18">
        <v>2.6147533161561216E-2</v>
      </c>
      <c r="AB8" s="19" t="s">
        <v>12</v>
      </c>
      <c r="AC8" s="26">
        <f t="shared" ref="AC8:AC29" si="0">N8+P8+R8+T8</f>
        <v>0.38228838629640233</v>
      </c>
      <c r="AD8" s="26">
        <f t="shared" ref="AD8:AD29" si="1">N8</f>
        <v>0.18837675350701402</v>
      </c>
      <c r="AE8" s="26">
        <f t="shared" ref="AE8:AE29" si="2">P8+R8+T8</f>
        <v>0.19391163278938831</v>
      </c>
      <c r="AG8" s="70" t="s">
        <v>19</v>
      </c>
      <c r="AH8" s="71"/>
      <c r="AI8" s="71"/>
      <c r="AJ8" s="71"/>
    </row>
    <row r="9" spans="1:36" x14ac:dyDescent="0.2">
      <c r="A9" s="19" t="s">
        <v>45</v>
      </c>
      <c r="B9" s="41">
        <v>10996</v>
      </c>
      <c r="C9" s="41">
        <v>421</v>
      </c>
      <c r="D9" s="18">
        <v>3.8286649690796655E-2</v>
      </c>
      <c r="E9" s="41">
        <v>2772</v>
      </c>
      <c r="F9" s="18">
        <v>0.25209166969807201</v>
      </c>
      <c r="G9" s="41">
        <v>2772</v>
      </c>
      <c r="H9" s="18">
        <v>0.25209166969807201</v>
      </c>
      <c r="I9" s="41">
        <v>2497</v>
      </c>
      <c r="J9" s="18">
        <v>0.90079365079365081</v>
      </c>
      <c r="K9" s="41">
        <v>275</v>
      </c>
      <c r="L9" s="18">
        <v>9.9206349206349201E-2</v>
      </c>
      <c r="M9" s="41">
        <v>324</v>
      </c>
      <c r="N9" s="18">
        <v>2.9465260094579847E-2</v>
      </c>
      <c r="O9" s="55">
        <v>67</v>
      </c>
      <c r="P9" s="18">
        <v>6.0931247726445977E-3</v>
      </c>
      <c r="Q9" s="41">
        <v>2214</v>
      </c>
      <c r="R9" s="18">
        <v>0.20134594397962896</v>
      </c>
      <c r="S9" s="41">
        <v>126</v>
      </c>
      <c r="T9" s="18">
        <v>1.1458712259003273E-2</v>
      </c>
      <c r="U9" s="41">
        <v>253</v>
      </c>
      <c r="V9" s="18">
        <v>2.3008366678792289E-2</v>
      </c>
      <c r="W9" s="41">
        <v>4436</v>
      </c>
      <c r="X9" s="18">
        <v>0.40341942524554386</v>
      </c>
      <c r="Y9" s="41">
        <v>383</v>
      </c>
      <c r="Z9" s="18">
        <v>3.4830847580938525E-2</v>
      </c>
      <c r="AB9" s="19" t="s">
        <v>45</v>
      </c>
      <c r="AC9" s="26">
        <f t="shared" si="0"/>
        <v>0.24836304110585669</v>
      </c>
      <c r="AD9" s="26">
        <f t="shared" si="1"/>
        <v>2.9465260094579847E-2</v>
      </c>
      <c r="AE9" s="26">
        <f t="shared" si="2"/>
        <v>0.21889778101127683</v>
      </c>
      <c r="AG9" s="70" t="s">
        <v>22</v>
      </c>
      <c r="AH9" s="71"/>
      <c r="AI9" s="71"/>
      <c r="AJ9" s="71"/>
    </row>
    <row r="10" spans="1:36" x14ac:dyDescent="0.2">
      <c r="A10" s="19" t="s">
        <v>46</v>
      </c>
      <c r="B10" s="41">
        <v>6797</v>
      </c>
      <c r="C10" s="41">
        <v>466</v>
      </c>
      <c r="D10" s="18">
        <v>6.8559658672943946E-2</v>
      </c>
      <c r="E10" s="41">
        <v>1265</v>
      </c>
      <c r="F10" s="18">
        <v>0.18611151978814183</v>
      </c>
      <c r="G10" s="41">
        <v>1265</v>
      </c>
      <c r="H10" s="18">
        <v>0.18611151978814183</v>
      </c>
      <c r="I10" s="41">
        <v>1087</v>
      </c>
      <c r="J10" s="18">
        <v>0.85928853754940715</v>
      </c>
      <c r="K10" s="41">
        <v>178</v>
      </c>
      <c r="L10" s="18">
        <v>0.14071146245059288</v>
      </c>
      <c r="M10" s="41">
        <v>149</v>
      </c>
      <c r="N10" s="18">
        <v>2.1921435927615123E-2</v>
      </c>
      <c r="O10" s="55">
        <v>37</v>
      </c>
      <c r="P10" s="18">
        <v>5.4435780491393264E-3</v>
      </c>
      <c r="Q10" s="41">
        <v>1100</v>
      </c>
      <c r="R10" s="18">
        <v>0.16183610416360159</v>
      </c>
      <c r="S10" s="41">
        <v>94</v>
      </c>
      <c r="T10" s="18">
        <v>1.3829630719435045E-2</v>
      </c>
      <c r="U10" s="41">
        <v>169</v>
      </c>
      <c r="V10" s="18">
        <v>2.4863910548771517E-2</v>
      </c>
      <c r="W10" s="41">
        <v>3393</v>
      </c>
      <c r="X10" s="18">
        <v>0.49919081947918198</v>
      </c>
      <c r="Y10" s="41">
        <v>124</v>
      </c>
      <c r="Z10" s="18">
        <v>1.8243342651169635E-2</v>
      </c>
      <c r="AB10" s="19" t="s">
        <v>46</v>
      </c>
      <c r="AC10" s="26">
        <f t="shared" si="0"/>
        <v>0.20303074885979108</v>
      </c>
      <c r="AD10" s="26">
        <f t="shared" si="1"/>
        <v>2.1921435927615123E-2</v>
      </c>
      <c r="AE10" s="26">
        <f t="shared" si="2"/>
        <v>0.18110931293217597</v>
      </c>
      <c r="AG10" s="70" t="s">
        <v>28</v>
      </c>
      <c r="AH10" s="71"/>
      <c r="AI10" s="71"/>
      <c r="AJ10" s="71"/>
    </row>
    <row r="11" spans="1:36" x14ac:dyDescent="0.2">
      <c r="A11" s="19" t="s">
        <v>15</v>
      </c>
      <c r="B11" s="41">
        <v>35529</v>
      </c>
      <c r="C11" s="41">
        <v>1553</v>
      </c>
      <c r="D11" s="18">
        <v>4.3710771482450957E-2</v>
      </c>
      <c r="E11" s="41">
        <v>17705</v>
      </c>
      <c r="F11" s="18">
        <v>0.4983253117171888</v>
      </c>
      <c r="G11" s="41">
        <v>17705</v>
      </c>
      <c r="H11" s="18">
        <v>0.4983253117171888</v>
      </c>
      <c r="I11" s="41">
        <v>15578</v>
      </c>
      <c r="J11" s="18">
        <v>0.87986444507201356</v>
      </c>
      <c r="K11" s="41">
        <v>2127</v>
      </c>
      <c r="L11" s="18">
        <v>0.12013555492798644</v>
      </c>
      <c r="M11" s="41">
        <v>5135</v>
      </c>
      <c r="N11" s="18">
        <v>0.14452982070984266</v>
      </c>
      <c r="O11" s="55">
        <v>1245</v>
      </c>
      <c r="P11" s="18">
        <v>3.504179684201638E-2</v>
      </c>
      <c r="Q11" s="41">
        <v>5208</v>
      </c>
      <c r="R11" s="18">
        <v>0.1465844802837119</v>
      </c>
      <c r="S11" s="41">
        <v>185</v>
      </c>
      <c r="T11" s="18">
        <v>5.2070139885727149E-3</v>
      </c>
      <c r="U11" s="41">
        <v>1329</v>
      </c>
      <c r="V11" s="18">
        <v>3.7406062653043991E-2</v>
      </c>
      <c r="W11" s="41">
        <v>2831</v>
      </c>
      <c r="X11" s="18">
        <v>7.9681387035942464E-2</v>
      </c>
      <c r="Y11" s="41">
        <v>338</v>
      </c>
      <c r="Z11" s="18">
        <v>9.5133552872301505E-3</v>
      </c>
      <c r="AB11" s="19" t="s">
        <v>15</v>
      </c>
      <c r="AC11" s="26">
        <f t="shared" si="0"/>
        <v>0.33136311182414369</v>
      </c>
      <c r="AD11" s="26">
        <f t="shared" si="1"/>
        <v>0.14452982070984266</v>
      </c>
      <c r="AE11" s="26">
        <f t="shared" si="2"/>
        <v>0.186833291114301</v>
      </c>
      <c r="AG11" s="70" t="s">
        <v>12</v>
      </c>
      <c r="AH11" s="71"/>
      <c r="AI11" s="71"/>
      <c r="AJ11" s="71"/>
    </row>
    <row r="12" spans="1:36" x14ac:dyDescent="0.2">
      <c r="A12" s="19" t="s">
        <v>16</v>
      </c>
      <c r="B12" s="41">
        <v>11776</v>
      </c>
      <c r="C12" s="41">
        <v>552</v>
      </c>
      <c r="D12" s="18">
        <v>4.6875E-2</v>
      </c>
      <c r="E12" s="41">
        <v>5331</v>
      </c>
      <c r="F12" s="18">
        <v>0.45270040760869568</v>
      </c>
      <c r="G12" s="41">
        <v>5331</v>
      </c>
      <c r="H12" s="18">
        <v>0.45270040760869568</v>
      </c>
      <c r="I12" s="41">
        <v>4809</v>
      </c>
      <c r="J12" s="18">
        <v>0.9020821609454136</v>
      </c>
      <c r="K12" s="41">
        <v>522</v>
      </c>
      <c r="L12" s="18">
        <v>9.7917839054586384E-2</v>
      </c>
      <c r="M12" s="41">
        <v>1453</v>
      </c>
      <c r="N12" s="18">
        <v>0.12338654891304347</v>
      </c>
      <c r="O12" s="55">
        <v>15</v>
      </c>
      <c r="P12" s="18">
        <v>1.2737771739130435E-3</v>
      </c>
      <c r="Q12" s="41">
        <v>1497</v>
      </c>
      <c r="R12" s="18">
        <v>0.12712296195652173</v>
      </c>
      <c r="S12" s="41">
        <v>10</v>
      </c>
      <c r="T12" s="18">
        <v>8.4918478260869563E-4</v>
      </c>
      <c r="U12" s="41">
        <v>504</v>
      </c>
      <c r="V12" s="18">
        <v>4.2798913043478264E-2</v>
      </c>
      <c r="W12" s="41">
        <v>2032</v>
      </c>
      <c r="X12" s="18">
        <v>0.17255434782608695</v>
      </c>
      <c r="Y12" s="41">
        <v>382</v>
      </c>
      <c r="Z12" s="18">
        <v>3.2438858695652176E-2</v>
      </c>
      <c r="AB12" s="19" t="s">
        <v>16</v>
      </c>
      <c r="AC12" s="26">
        <f t="shared" si="0"/>
        <v>0.25263247282608697</v>
      </c>
      <c r="AD12" s="26">
        <f t="shared" si="1"/>
        <v>0.12338654891304347</v>
      </c>
      <c r="AE12" s="26">
        <f t="shared" si="2"/>
        <v>0.12924592391304349</v>
      </c>
      <c r="AG12" s="70" t="s">
        <v>17</v>
      </c>
      <c r="AH12" s="71"/>
      <c r="AI12" s="71"/>
      <c r="AJ12" s="71"/>
    </row>
    <row r="13" spans="1:36" x14ac:dyDescent="0.2">
      <c r="A13" s="19" t="s">
        <v>17</v>
      </c>
      <c r="B13" s="41">
        <v>63303</v>
      </c>
      <c r="C13" s="41">
        <v>1279</v>
      </c>
      <c r="D13" s="18">
        <v>2.0204413692873957E-2</v>
      </c>
      <c r="E13" s="41">
        <v>34240</v>
      </c>
      <c r="F13" s="18">
        <v>0.5408906370946085</v>
      </c>
      <c r="G13" s="41">
        <v>34240</v>
      </c>
      <c r="H13" s="18">
        <v>0.5408906370946085</v>
      </c>
      <c r="I13" s="41">
        <v>28636</v>
      </c>
      <c r="J13" s="18">
        <v>0.83633177570093453</v>
      </c>
      <c r="K13" s="41">
        <v>5604</v>
      </c>
      <c r="L13" s="18">
        <v>0.16366822429906541</v>
      </c>
      <c r="M13" s="41">
        <v>12439</v>
      </c>
      <c r="N13" s="18">
        <v>0.19649937601693443</v>
      </c>
      <c r="O13" s="55">
        <v>87</v>
      </c>
      <c r="P13" s="18">
        <v>1.3743424482252026E-3</v>
      </c>
      <c r="Q13" s="41">
        <v>10357</v>
      </c>
      <c r="R13" s="18">
        <v>0.16360993949733821</v>
      </c>
      <c r="S13" s="41">
        <v>212</v>
      </c>
      <c r="T13" s="18">
        <v>3.348972402571758E-3</v>
      </c>
      <c r="U13" s="41">
        <v>711</v>
      </c>
      <c r="V13" s="18">
        <v>1.1231695180323208E-2</v>
      </c>
      <c r="W13" s="41">
        <v>2569</v>
      </c>
      <c r="X13" s="18">
        <v>4.0582594821730406E-2</v>
      </c>
      <c r="Y13" s="41">
        <v>1409</v>
      </c>
      <c r="Z13" s="18">
        <v>2.2258028845394372E-2</v>
      </c>
      <c r="AB13" s="19" t="s">
        <v>17</v>
      </c>
      <c r="AC13" s="26">
        <f t="shared" si="0"/>
        <v>0.36483263036506958</v>
      </c>
      <c r="AD13" s="26">
        <f t="shared" si="1"/>
        <v>0.19649937601693443</v>
      </c>
      <c r="AE13" s="26">
        <f t="shared" si="2"/>
        <v>0.16833325434813518</v>
      </c>
      <c r="AG13" s="70" t="s">
        <v>29</v>
      </c>
      <c r="AH13" s="71"/>
      <c r="AI13" s="71"/>
      <c r="AJ13" s="71"/>
    </row>
    <row r="14" spans="1:36" x14ac:dyDescent="0.2">
      <c r="A14" s="19" t="s">
        <v>18</v>
      </c>
      <c r="B14" s="41">
        <v>9392</v>
      </c>
      <c r="C14" s="41">
        <v>587</v>
      </c>
      <c r="D14" s="18">
        <v>6.25E-2</v>
      </c>
      <c r="E14" s="41">
        <v>1502</v>
      </c>
      <c r="F14" s="18">
        <v>0.15992333901192504</v>
      </c>
      <c r="G14" s="41">
        <v>1502</v>
      </c>
      <c r="H14" s="18">
        <v>0.15992333901192504</v>
      </c>
      <c r="I14" s="41">
        <v>1243</v>
      </c>
      <c r="J14" s="18">
        <v>0.8275632490013316</v>
      </c>
      <c r="K14" s="41">
        <v>259</v>
      </c>
      <c r="L14" s="18">
        <v>0.17243675099866845</v>
      </c>
      <c r="M14" s="41">
        <v>244</v>
      </c>
      <c r="N14" s="18">
        <v>2.5979557069846677E-2</v>
      </c>
      <c r="O14" s="55">
        <v>45</v>
      </c>
      <c r="P14" s="18">
        <v>4.7913117546848384E-3</v>
      </c>
      <c r="Q14" s="41">
        <v>1457</v>
      </c>
      <c r="R14" s="18">
        <v>0.15513202725724021</v>
      </c>
      <c r="S14" s="41">
        <v>140</v>
      </c>
      <c r="T14" s="18">
        <v>1.4906303236797274E-2</v>
      </c>
      <c r="U14" s="41">
        <v>156</v>
      </c>
      <c r="V14" s="18">
        <v>1.6609880749574105E-2</v>
      </c>
      <c r="W14" s="41">
        <v>4992</v>
      </c>
      <c r="X14" s="18">
        <v>0.53151618398637135</v>
      </c>
      <c r="Y14" s="41">
        <v>269</v>
      </c>
      <c r="Z14" s="18">
        <v>2.8641396933560478E-2</v>
      </c>
      <c r="AB14" s="19" t="s">
        <v>18</v>
      </c>
      <c r="AC14" s="26">
        <f t="shared" si="0"/>
        <v>0.200809199318569</v>
      </c>
      <c r="AD14" s="26">
        <f t="shared" si="1"/>
        <v>2.5979557069846677E-2</v>
      </c>
      <c r="AE14" s="26">
        <f t="shared" si="2"/>
        <v>0.17482964224872233</v>
      </c>
      <c r="AG14" s="70" t="s">
        <v>47</v>
      </c>
      <c r="AH14" s="71"/>
      <c r="AI14" s="71"/>
      <c r="AJ14" s="71"/>
    </row>
    <row r="15" spans="1:36" x14ac:dyDescent="0.2">
      <c r="A15" s="19" t="s">
        <v>19</v>
      </c>
      <c r="B15" s="41">
        <v>27230</v>
      </c>
      <c r="C15" s="41">
        <v>683</v>
      </c>
      <c r="D15" s="18">
        <v>2.50826294528094E-2</v>
      </c>
      <c r="E15" s="41">
        <v>9934</v>
      </c>
      <c r="F15" s="18">
        <v>0.3648182152038193</v>
      </c>
      <c r="G15" s="41">
        <v>9934</v>
      </c>
      <c r="H15" s="18">
        <v>0.3648182152038193</v>
      </c>
      <c r="I15" s="41">
        <v>8017</v>
      </c>
      <c r="J15" s="18">
        <v>0.80702637406885447</v>
      </c>
      <c r="K15" s="41">
        <v>1917</v>
      </c>
      <c r="L15" s="18">
        <v>0.19297362593114556</v>
      </c>
      <c r="M15" s="41">
        <v>1267</v>
      </c>
      <c r="N15" s="18">
        <v>4.652956298200514E-2</v>
      </c>
      <c r="O15" s="55">
        <v>44</v>
      </c>
      <c r="P15" s="18">
        <v>1.6158648549394051E-3</v>
      </c>
      <c r="Q15" s="41">
        <v>13115</v>
      </c>
      <c r="R15" s="18">
        <v>0.48163789937568857</v>
      </c>
      <c r="S15" s="41">
        <v>178</v>
      </c>
      <c r="T15" s="18">
        <v>6.5369078222548655E-3</v>
      </c>
      <c r="U15" s="41">
        <v>89</v>
      </c>
      <c r="V15" s="18">
        <v>3.2684539111274328E-3</v>
      </c>
      <c r="W15" s="41">
        <v>1567</v>
      </c>
      <c r="X15" s="18">
        <v>5.7546823356591996E-2</v>
      </c>
      <c r="Y15" s="41">
        <v>353</v>
      </c>
      <c r="Z15" s="18">
        <v>1.2963643040763863E-2</v>
      </c>
      <c r="AB15" s="19" t="s">
        <v>19</v>
      </c>
      <c r="AC15" s="26">
        <f t="shared" si="0"/>
        <v>0.53632023503488802</v>
      </c>
      <c r="AD15" s="26">
        <f t="shared" si="1"/>
        <v>4.652956298200514E-2</v>
      </c>
      <c r="AE15" s="26">
        <f t="shared" si="2"/>
        <v>0.48979067205288285</v>
      </c>
      <c r="AG15" s="70" t="s">
        <v>24</v>
      </c>
      <c r="AH15" s="71"/>
      <c r="AI15" s="71"/>
      <c r="AJ15" s="71"/>
    </row>
    <row r="16" spans="1:36" x14ac:dyDescent="0.2">
      <c r="A16" s="19" t="s">
        <v>20</v>
      </c>
      <c r="B16" s="41">
        <v>16570</v>
      </c>
      <c r="C16" s="41">
        <v>593</v>
      </c>
      <c r="D16" s="18">
        <v>3.5787567893783949E-2</v>
      </c>
      <c r="E16" s="41">
        <v>2479</v>
      </c>
      <c r="F16" s="18">
        <v>0.14960772480386239</v>
      </c>
      <c r="G16" s="41">
        <v>2479</v>
      </c>
      <c r="H16" s="18">
        <v>0.14960772480386239</v>
      </c>
      <c r="I16" s="41">
        <v>2120</v>
      </c>
      <c r="J16" s="18">
        <v>0.85518354175070588</v>
      </c>
      <c r="K16" s="41">
        <v>359</v>
      </c>
      <c r="L16" s="18">
        <v>0.14481645824929407</v>
      </c>
      <c r="M16" s="41">
        <v>1828</v>
      </c>
      <c r="N16" s="18">
        <v>0.11031985515992758</v>
      </c>
      <c r="O16" s="55">
        <v>87</v>
      </c>
      <c r="P16" s="18">
        <v>5.2504526252263126E-3</v>
      </c>
      <c r="Q16" s="41">
        <v>2367</v>
      </c>
      <c r="R16" s="18">
        <v>0.14284852142426072</v>
      </c>
      <c r="S16" s="41">
        <v>69</v>
      </c>
      <c r="T16" s="18">
        <v>4.1641520820760412E-3</v>
      </c>
      <c r="U16" s="41">
        <v>713</v>
      </c>
      <c r="V16" s="18">
        <v>4.3029571514785758E-2</v>
      </c>
      <c r="W16" s="41">
        <v>8171</v>
      </c>
      <c r="X16" s="18">
        <v>0.49312009656004829</v>
      </c>
      <c r="Y16" s="41">
        <v>263</v>
      </c>
      <c r="Z16" s="18">
        <v>1.5872057936028968E-2</v>
      </c>
      <c r="AB16" s="19" t="s">
        <v>20</v>
      </c>
      <c r="AC16" s="26">
        <f t="shared" si="0"/>
        <v>0.26258298129149066</v>
      </c>
      <c r="AD16" s="26">
        <f t="shared" si="1"/>
        <v>0.11031985515992758</v>
      </c>
      <c r="AE16" s="26">
        <f t="shared" si="2"/>
        <v>0.15226312613156306</v>
      </c>
      <c r="AG16" s="70" t="s">
        <v>15</v>
      </c>
      <c r="AH16" s="71"/>
      <c r="AI16" s="71"/>
      <c r="AJ16" s="71"/>
    </row>
    <row r="17" spans="1:36" x14ac:dyDescent="0.2">
      <c r="A17" s="19" t="s">
        <v>21</v>
      </c>
      <c r="B17" s="41">
        <v>19766</v>
      </c>
      <c r="C17" s="41">
        <v>367</v>
      </c>
      <c r="D17" s="18">
        <v>1.8567236669027622E-2</v>
      </c>
      <c r="E17" s="41">
        <v>13766</v>
      </c>
      <c r="F17" s="18">
        <v>0.69644844682788631</v>
      </c>
      <c r="G17" s="41">
        <v>13766</v>
      </c>
      <c r="H17" s="18">
        <v>0.69644844682788631</v>
      </c>
      <c r="I17" s="41">
        <v>12030</v>
      </c>
      <c r="J17" s="18">
        <v>0.87389219816940289</v>
      </c>
      <c r="K17" s="41">
        <v>1736</v>
      </c>
      <c r="L17" s="18">
        <v>0.12610780183059711</v>
      </c>
      <c r="M17" s="41">
        <v>2397</v>
      </c>
      <c r="N17" s="18">
        <v>0.12126884549225944</v>
      </c>
      <c r="O17" s="55">
        <v>38</v>
      </c>
      <c r="P17" s="18">
        <v>1.9224931700900535E-3</v>
      </c>
      <c r="Q17" s="41">
        <v>1894</v>
      </c>
      <c r="R17" s="18">
        <v>9.5821106951330573E-2</v>
      </c>
      <c r="S17" s="41">
        <v>526</v>
      </c>
      <c r="T17" s="18">
        <v>2.6611352828088637E-2</v>
      </c>
      <c r="U17" s="41">
        <v>51</v>
      </c>
      <c r="V17" s="18">
        <v>2.5801882019629665E-3</v>
      </c>
      <c r="W17" s="41">
        <v>445</v>
      </c>
      <c r="X17" s="18">
        <v>2.2513406860265102E-2</v>
      </c>
      <c r="Y17" s="41">
        <v>282</v>
      </c>
      <c r="Z17" s="18">
        <v>1.4266922999089346E-2</v>
      </c>
      <c r="AB17" s="19" t="s">
        <v>21</v>
      </c>
      <c r="AC17" s="26">
        <f t="shared" si="0"/>
        <v>0.24562379844176868</v>
      </c>
      <c r="AD17" s="26">
        <f t="shared" si="1"/>
        <v>0.12126884549225944</v>
      </c>
      <c r="AE17" s="26">
        <f t="shared" si="2"/>
        <v>0.12435495294950927</v>
      </c>
      <c r="AG17" s="70" t="s">
        <v>27</v>
      </c>
      <c r="AH17" s="71"/>
      <c r="AI17" s="71"/>
      <c r="AJ17" s="71"/>
    </row>
    <row r="18" spans="1:36" x14ac:dyDescent="0.2">
      <c r="A18" s="19" t="s">
        <v>22</v>
      </c>
      <c r="B18" s="41">
        <v>24058</v>
      </c>
      <c r="C18" s="41">
        <v>1184</v>
      </c>
      <c r="D18" s="18">
        <v>4.9214398536869236E-2</v>
      </c>
      <c r="E18" s="41">
        <v>10043</v>
      </c>
      <c r="F18" s="18">
        <v>0.41744949704879875</v>
      </c>
      <c r="G18" s="41">
        <v>10043</v>
      </c>
      <c r="H18" s="18">
        <v>0.41744949704879875</v>
      </c>
      <c r="I18" s="41">
        <v>8850</v>
      </c>
      <c r="J18" s="18">
        <v>0.88121079358757348</v>
      </c>
      <c r="K18" s="41">
        <v>1193</v>
      </c>
      <c r="L18" s="18">
        <v>0.11878920641242656</v>
      </c>
      <c r="M18" s="41">
        <v>2387</v>
      </c>
      <c r="N18" s="18">
        <v>9.9218555158367278E-2</v>
      </c>
      <c r="O18" s="55">
        <v>121</v>
      </c>
      <c r="P18" s="18">
        <v>5.029512012636129E-3</v>
      </c>
      <c r="Q18" s="41">
        <v>7382</v>
      </c>
      <c r="R18" s="18">
        <v>0.30684179898578434</v>
      </c>
      <c r="S18" s="41">
        <v>172</v>
      </c>
      <c r="T18" s="18">
        <v>7.1493889766397868E-3</v>
      </c>
      <c r="U18" s="41">
        <v>1429</v>
      </c>
      <c r="V18" s="18">
        <v>5.9398121207082884E-2</v>
      </c>
      <c r="W18" s="41">
        <v>1156</v>
      </c>
      <c r="X18" s="18">
        <v>4.8050544517416242E-2</v>
      </c>
      <c r="Y18" s="41">
        <v>184</v>
      </c>
      <c r="Z18" s="18">
        <v>7.6481835564053535E-3</v>
      </c>
      <c r="AB18" s="19" t="s">
        <v>22</v>
      </c>
      <c r="AC18" s="26">
        <f t="shared" si="0"/>
        <v>0.41823925513342758</v>
      </c>
      <c r="AD18" s="26">
        <f t="shared" si="1"/>
        <v>9.9218555158367278E-2</v>
      </c>
      <c r="AE18" s="26">
        <f t="shared" si="2"/>
        <v>0.31902069997506027</v>
      </c>
      <c r="AG18" s="70" t="s">
        <v>49</v>
      </c>
      <c r="AH18" s="71"/>
      <c r="AI18" s="71"/>
      <c r="AJ18" s="71"/>
    </row>
    <row r="19" spans="1:36" x14ac:dyDescent="0.2">
      <c r="A19" s="19" t="s">
        <v>23</v>
      </c>
      <c r="B19" s="41">
        <v>2349</v>
      </c>
      <c r="C19" s="41">
        <v>116</v>
      </c>
      <c r="D19" s="18">
        <v>4.9382716049382713E-2</v>
      </c>
      <c r="E19" s="41">
        <v>261</v>
      </c>
      <c r="F19" s="18">
        <v>0.1111111111111111</v>
      </c>
      <c r="G19" s="41">
        <v>261</v>
      </c>
      <c r="H19" s="18">
        <v>0.1111111111111111</v>
      </c>
      <c r="I19" s="41">
        <v>186</v>
      </c>
      <c r="J19" s="18">
        <v>0.71264367816091956</v>
      </c>
      <c r="K19" s="41">
        <v>75</v>
      </c>
      <c r="L19" s="18">
        <v>0.28735632183908044</v>
      </c>
      <c r="M19" s="41">
        <v>152</v>
      </c>
      <c r="N19" s="18">
        <v>6.4708386547467009E-2</v>
      </c>
      <c r="O19" s="55">
        <v>13</v>
      </c>
      <c r="P19" s="18">
        <v>5.5342699020859941E-3</v>
      </c>
      <c r="Q19" s="41">
        <v>173</v>
      </c>
      <c r="R19" s="18">
        <v>7.3648361004682847E-2</v>
      </c>
      <c r="S19" s="41">
        <v>0</v>
      </c>
      <c r="T19" s="18">
        <v>0</v>
      </c>
      <c r="U19" s="41">
        <v>35</v>
      </c>
      <c r="V19" s="18">
        <v>1.489995742869306E-2</v>
      </c>
      <c r="W19" s="41">
        <v>1591</v>
      </c>
      <c r="X19" s="18">
        <v>0.67730949340144742</v>
      </c>
      <c r="Y19" s="41">
        <v>8</v>
      </c>
      <c r="Z19" s="18">
        <v>3.4057045551298426E-3</v>
      </c>
      <c r="AB19" s="19" t="s">
        <v>23</v>
      </c>
      <c r="AC19" s="26">
        <f t="shared" si="0"/>
        <v>0.14389101745423585</v>
      </c>
      <c r="AD19" s="26">
        <f t="shared" si="1"/>
        <v>6.4708386547467009E-2</v>
      </c>
      <c r="AE19" s="26">
        <f t="shared" si="2"/>
        <v>7.9182630906768844E-2</v>
      </c>
      <c r="AG19" s="70" t="s">
        <v>45</v>
      </c>
      <c r="AH19" s="71"/>
      <c r="AI19" s="71"/>
      <c r="AJ19" s="71"/>
    </row>
    <row r="20" spans="1:36" x14ac:dyDescent="0.2">
      <c r="A20" s="19" t="s">
        <v>24</v>
      </c>
      <c r="B20" s="41">
        <v>12562</v>
      </c>
      <c r="C20" s="41">
        <v>166</v>
      </c>
      <c r="D20" s="18">
        <v>1.321445629676803E-2</v>
      </c>
      <c r="E20" s="41">
        <v>7661</v>
      </c>
      <c r="F20" s="18">
        <v>0.60985511861168606</v>
      </c>
      <c r="G20" s="41">
        <v>7661</v>
      </c>
      <c r="H20" s="18">
        <v>0.60985511861168606</v>
      </c>
      <c r="I20" s="41">
        <v>6172</v>
      </c>
      <c r="J20" s="18">
        <v>0.80563895052865164</v>
      </c>
      <c r="K20" s="41">
        <v>1489</v>
      </c>
      <c r="L20" s="18">
        <v>0.19436104947134838</v>
      </c>
      <c r="M20" s="41">
        <v>2517</v>
      </c>
      <c r="N20" s="18">
        <v>0.20036618372870563</v>
      </c>
      <c r="O20" s="55">
        <v>59</v>
      </c>
      <c r="P20" s="18">
        <v>4.6967043464416491E-3</v>
      </c>
      <c r="Q20" s="41">
        <v>1587</v>
      </c>
      <c r="R20" s="18">
        <v>0.12633338640343894</v>
      </c>
      <c r="S20" s="41">
        <v>34</v>
      </c>
      <c r="T20" s="18">
        <v>2.7065753860850182E-3</v>
      </c>
      <c r="U20" s="41">
        <v>42</v>
      </c>
      <c r="V20" s="18">
        <v>3.3434166533991404E-3</v>
      </c>
      <c r="W20" s="41">
        <v>396</v>
      </c>
      <c r="X20" s="18">
        <v>3.1523642732049037E-2</v>
      </c>
      <c r="Y20" s="41">
        <v>100</v>
      </c>
      <c r="Z20" s="18">
        <v>7.9605158414265253E-3</v>
      </c>
      <c r="AB20" s="19" t="s">
        <v>24</v>
      </c>
      <c r="AC20" s="26">
        <f t="shared" si="0"/>
        <v>0.33410284986467126</v>
      </c>
      <c r="AD20" s="26">
        <f t="shared" si="1"/>
        <v>0.20036618372870563</v>
      </c>
      <c r="AE20" s="26">
        <f t="shared" si="2"/>
        <v>0.1337366661359656</v>
      </c>
      <c r="AG20" s="70" t="s">
        <v>16</v>
      </c>
      <c r="AH20" s="71"/>
      <c r="AI20" s="71"/>
      <c r="AJ20" s="71"/>
    </row>
    <row r="21" spans="1:36" x14ac:dyDescent="0.2">
      <c r="A21" s="19" t="s">
        <v>47</v>
      </c>
      <c r="B21" s="41">
        <v>8145</v>
      </c>
      <c r="C21" s="41">
        <v>229</v>
      </c>
      <c r="D21" s="18">
        <v>2.8115408225905462E-2</v>
      </c>
      <c r="E21" s="41">
        <v>2041</v>
      </c>
      <c r="F21" s="18">
        <v>0.25058317986494782</v>
      </c>
      <c r="G21" s="41">
        <v>2041</v>
      </c>
      <c r="H21" s="18">
        <v>0.25058317986494782</v>
      </c>
      <c r="I21" s="41">
        <v>1723</v>
      </c>
      <c r="J21" s="18">
        <v>0.8441940225379716</v>
      </c>
      <c r="K21" s="41">
        <v>318</v>
      </c>
      <c r="L21" s="18">
        <v>0.15580597746202843</v>
      </c>
      <c r="M21" s="41">
        <v>848</v>
      </c>
      <c r="N21" s="18">
        <v>0.10411295273173726</v>
      </c>
      <c r="O21" s="55">
        <v>282</v>
      </c>
      <c r="P21" s="18">
        <v>3.4622467771639041E-2</v>
      </c>
      <c r="Q21" s="41">
        <v>1950</v>
      </c>
      <c r="R21" s="18">
        <v>0.23941068139963168</v>
      </c>
      <c r="S21" s="41">
        <v>67</v>
      </c>
      <c r="T21" s="18">
        <v>8.2259054634745248E-3</v>
      </c>
      <c r="U21" s="41">
        <v>162</v>
      </c>
      <c r="V21" s="18">
        <v>1.9889502762430938E-2</v>
      </c>
      <c r="W21" s="41">
        <v>2512</v>
      </c>
      <c r="X21" s="18">
        <v>0.30841006752608963</v>
      </c>
      <c r="Y21" s="41">
        <v>54</v>
      </c>
      <c r="Z21" s="18">
        <v>6.6298342541436465E-3</v>
      </c>
      <c r="AB21" s="19" t="s">
        <v>47</v>
      </c>
      <c r="AC21" s="26">
        <f t="shared" si="0"/>
        <v>0.38637200736648253</v>
      </c>
      <c r="AD21" s="26">
        <f t="shared" si="1"/>
        <v>0.10411295273173726</v>
      </c>
      <c r="AE21" s="26">
        <f t="shared" si="2"/>
        <v>0.28225905463474521</v>
      </c>
      <c r="AG21" s="70" t="s">
        <v>21</v>
      </c>
      <c r="AH21" s="71"/>
      <c r="AI21" s="71"/>
      <c r="AJ21" s="71"/>
    </row>
    <row r="22" spans="1:36" x14ac:dyDescent="0.2">
      <c r="A22" s="19" t="s">
        <v>48</v>
      </c>
      <c r="B22" s="41">
        <v>6910</v>
      </c>
      <c r="C22" s="41">
        <v>355</v>
      </c>
      <c r="D22" s="18">
        <v>5.1374819102749637E-2</v>
      </c>
      <c r="E22" s="41">
        <v>1426</v>
      </c>
      <c r="F22" s="18">
        <v>0.20636758321273516</v>
      </c>
      <c r="G22" s="41">
        <v>1426</v>
      </c>
      <c r="H22" s="18">
        <v>0.20636758321273516</v>
      </c>
      <c r="I22" s="41">
        <v>1338</v>
      </c>
      <c r="J22" s="18">
        <v>0.93828892005610098</v>
      </c>
      <c r="K22" s="41">
        <v>88</v>
      </c>
      <c r="L22" s="18">
        <v>6.1711079943899017E-2</v>
      </c>
      <c r="M22" s="41">
        <v>60</v>
      </c>
      <c r="N22" s="18">
        <v>8.6830680173661367E-3</v>
      </c>
      <c r="O22" s="55">
        <v>31</v>
      </c>
      <c r="P22" s="18">
        <v>4.4862518089725037E-3</v>
      </c>
      <c r="Q22" s="41">
        <v>1467</v>
      </c>
      <c r="R22" s="18">
        <v>0.21230101302460203</v>
      </c>
      <c r="S22" s="41">
        <v>96</v>
      </c>
      <c r="T22" s="18">
        <v>1.3892908827785818E-2</v>
      </c>
      <c r="U22" s="41">
        <v>74</v>
      </c>
      <c r="V22" s="18">
        <v>1.0709117221418235E-2</v>
      </c>
      <c r="W22" s="41">
        <v>3371</v>
      </c>
      <c r="X22" s="18">
        <v>0.48784370477568739</v>
      </c>
      <c r="Y22" s="41">
        <v>30</v>
      </c>
      <c r="Z22" s="18">
        <v>4.3415340086830683E-3</v>
      </c>
      <c r="AB22" s="19" t="s">
        <v>48</v>
      </c>
      <c r="AC22" s="26">
        <f t="shared" si="0"/>
        <v>0.2393632416787265</v>
      </c>
      <c r="AD22" s="26">
        <f t="shared" si="1"/>
        <v>8.6830680173661367E-3</v>
      </c>
      <c r="AE22" s="26">
        <f t="shared" si="2"/>
        <v>0.23068017366136034</v>
      </c>
      <c r="AG22" s="70" t="s">
        <v>48</v>
      </c>
      <c r="AH22" s="71"/>
      <c r="AI22" s="71"/>
      <c r="AJ22" s="71"/>
    </row>
    <row r="23" spans="1:36" x14ac:dyDescent="0.2">
      <c r="A23" s="19" t="s">
        <v>27</v>
      </c>
      <c r="B23" s="41">
        <v>16843</v>
      </c>
      <c r="C23" s="41">
        <v>628</v>
      </c>
      <c r="D23" s="18">
        <v>3.7285519206792142E-2</v>
      </c>
      <c r="E23" s="41">
        <v>10463</v>
      </c>
      <c r="F23" s="18">
        <v>0.62120762334500979</v>
      </c>
      <c r="G23" s="41">
        <v>10463</v>
      </c>
      <c r="H23" s="18">
        <v>0.62120762334500979</v>
      </c>
      <c r="I23" s="41">
        <v>9416</v>
      </c>
      <c r="J23" s="18">
        <v>0.8999330975819555</v>
      </c>
      <c r="K23" s="41">
        <v>1047</v>
      </c>
      <c r="L23" s="18">
        <v>0.10006690241804454</v>
      </c>
      <c r="M23" s="41">
        <v>1580</v>
      </c>
      <c r="N23" s="18">
        <v>9.3807516475687233E-2</v>
      </c>
      <c r="O23" s="55">
        <v>56</v>
      </c>
      <c r="P23" s="18">
        <v>3.3248233687585347E-3</v>
      </c>
      <c r="Q23" s="41">
        <v>2440</v>
      </c>
      <c r="R23" s="18">
        <v>0.14486730392447902</v>
      </c>
      <c r="S23" s="41">
        <v>873</v>
      </c>
      <c r="T23" s="18">
        <v>5.1831621445110727E-2</v>
      </c>
      <c r="U23" s="41">
        <v>347</v>
      </c>
      <c r="V23" s="18">
        <v>2.0602030517128778E-2</v>
      </c>
      <c r="W23" s="41">
        <v>250</v>
      </c>
      <c r="X23" s="18">
        <v>1.484296146767203E-2</v>
      </c>
      <c r="Y23" s="41">
        <v>206</v>
      </c>
      <c r="Z23" s="18">
        <v>1.2230600249361753E-2</v>
      </c>
      <c r="AB23" s="19" t="s">
        <v>27</v>
      </c>
      <c r="AC23" s="26">
        <f t="shared" si="0"/>
        <v>0.29383126521403552</v>
      </c>
      <c r="AD23" s="26">
        <f t="shared" si="1"/>
        <v>9.3807516475687233E-2</v>
      </c>
      <c r="AE23" s="26">
        <f t="shared" si="2"/>
        <v>0.20002374873834827</v>
      </c>
      <c r="AG23" s="70" t="s">
        <v>46</v>
      </c>
      <c r="AH23" s="71"/>
      <c r="AI23" s="71"/>
      <c r="AJ23" s="71"/>
    </row>
    <row r="24" spans="1:36" x14ac:dyDescent="0.2">
      <c r="A24" s="19" t="s">
        <v>28</v>
      </c>
      <c r="B24" s="41">
        <v>22934</v>
      </c>
      <c r="C24" s="41">
        <v>282</v>
      </c>
      <c r="D24" s="18">
        <v>1.2296154181564489E-2</v>
      </c>
      <c r="E24" s="41">
        <v>10192</v>
      </c>
      <c r="F24" s="18">
        <v>0.44440568588122437</v>
      </c>
      <c r="G24" s="41">
        <v>10192</v>
      </c>
      <c r="H24" s="18">
        <v>0.44440568588122437</v>
      </c>
      <c r="I24" s="41">
        <v>8619</v>
      </c>
      <c r="J24" s="18">
        <v>0.84566326530612246</v>
      </c>
      <c r="K24" s="41">
        <v>1573</v>
      </c>
      <c r="L24" s="18">
        <v>0.15433673469387754</v>
      </c>
      <c r="M24" s="41">
        <v>7150</v>
      </c>
      <c r="N24" s="18">
        <v>0.31176419290136914</v>
      </c>
      <c r="O24" s="55">
        <v>63</v>
      </c>
      <c r="P24" s="18">
        <v>2.747013168221854E-3</v>
      </c>
      <c r="Q24" s="41">
        <v>2294</v>
      </c>
      <c r="R24" s="18">
        <v>0.10002616203017355</v>
      </c>
      <c r="S24" s="41">
        <v>99</v>
      </c>
      <c r="T24" s="18">
        <v>4.316734978634342E-3</v>
      </c>
      <c r="U24" s="41">
        <v>370</v>
      </c>
      <c r="V24" s="18">
        <v>1.6133251940350569E-2</v>
      </c>
      <c r="W24" s="41">
        <v>2183</v>
      </c>
      <c r="X24" s="18">
        <v>9.5186186448068366E-2</v>
      </c>
      <c r="Y24" s="41">
        <v>301</v>
      </c>
      <c r="Z24" s="18">
        <v>1.3124618470393302E-2</v>
      </c>
      <c r="AB24" s="19" t="s">
        <v>28</v>
      </c>
      <c r="AC24" s="26">
        <f t="shared" si="0"/>
        <v>0.41885410307839888</v>
      </c>
      <c r="AD24" s="26">
        <f t="shared" si="1"/>
        <v>0.31176419290136914</v>
      </c>
      <c r="AE24" s="26">
        <f t="shared" si="2"/>
        <v>0.10708991017702975</v>
      </c>
      <c r="AG24" s="70" t="s">
        <v>50</v>
      </c>
      <c r="AH24" s="71"/>
      <c r="AI24" s="71"/>
      <c r="AJ24" s="71"/>
    </row>
    <row r="25" spans="1:36" x14ac:dyDescent="0.2">
      <c r="A25" s="19" t="s">
        <v>29</v>
      </c>
      <c r="B25" s="41">
        <v>24331</v>
      </c>
      <c r="C25" s="41">
        <v>632</v>
      </c>
      <c r="D25" s="18">
        <v>2.5975093502116641E-2</v>
      </c>
      <c r="E25" s="41">
        <v>11252</v>
      </c>
      <c r="F25" s="18">
        <v>0.46245530393325385</v>
      </c>
      <c r="G25" s="41">
        <v>11252</v>
      </c>
      <c r="H25" s="18">
        <v>0.46245530393325385</v>
      </c>
      <c r="I25" s="41">
        <v>9937</v>
      </c>
      <c r="J25" s="18">
        <v>0.88313188766441519</v>
      </c>
      <c r="K25" s="41">
        <v>1315</v>
      </c>
      <c r="L25" s="18">
        <v>0.11686811233558478</v>
      </c>
      <c r="M25" s="41">
        <v>5500</v>
      </c>
      <c r="N25" s="18">
        <v>0.22604907319879988</v>
      </c>
      <c r="O25" s="55">
        <v>40</v>
      </c>
      <c r="P25" s="18">
        <v>1.6439932596276354E-3</v>
      </c>
      <c r="Q25" s="41">
        <v>3294</v>
      </c>
      <c r="R25" s="18">
        <v>0.13538284493033578</v>
      </c>
      <c r="S25" s="41">
        <v>70</v>
      </c>
      <c r="T25" s="18">
        <v>2.876988204348362E-3</v>
      </c>
      <c r="U25" s="41">
        <v>303</v>
      </c>
      <c r="V25" s="18">
        <v>1.2453248941679339E-2</v>
      </c>
      <c r="W25" s="41">
        <v>2502</v>
      </c>
      <c r="X25" s="18">
        <v>0.1028317783897086</v>
      </c>
      <c r="Y25" s="41">
        <v>738</v>
      </c>
      <c r="Z25" s="18">
        <v>3.0331675640129875E-2</v>
      </c>
      <c r="AB25" s="19" t="s">
        <v>29</v>
      </c>
      <c r="AC25" s="26">
        <f t="shared" si="0"/>
        <v>0.36595289959311161</v>
      </c>
      <c r="AD25" s="26">
        <f t="shared" si="1"/>
        <v>0.22604907319879988</v>
      </c>
      <c r="AE25" s="26">
        <f t="shared" si="2"/>
        <v>0.13990382639431179</v>
      </c>
      <c r="AG25" s="70" t="s">
        <v>18</v>
      </c>
      <c r="AH25" s="71"/>
      <c r="AI25" s="71"/>
      <c r="AJ25" s="71"/>
    </row>
    <row r="26" spans="1:36" x14ac:dyDescent="0.2">
      <c r="A26" s="19" t="s">
        <v>30</v>
      </c>
      <c r="B26" s="41">
        <v>3546</v>
      </c>
      <c r="C26" s="41">
        <v>223</v>
      </c>
      <c r="D26" s="18">
        <v>6.2887760857304006E-2</v>
      </c>
      <c r="E26" s="41">
        <v>1236</v>
      </c>
      <c r="F26" s="18">
        <v>0.34856175972927245</v>
      </c>
      <c r="G26" s="41">
        <v>1236</v>
      </c>
      <c r="H26" s="18">
        <v>0.34856175972927245</v>
      </c>
      <c r="I26" s="41">
        <v>1154</v>
      </c>
      <c r="J26" s="18">
        <v>0.93365695792880254</v>
      </c>
      <c r="K26" s="41">
        <v>82</v>
      </c>
      <c r="L26" s="18">
        <v>6.6343042071197414E-2</v>
      </c>
      <c r="M26" s="41">
        <v>245</v>
      </c>
      <c r="N26" s="18">
        <v>6.9091934574168082E-2</v>
      </c>
      <c r="O26" s="55">
        <v>0</v>
      </c>
      <c r="P26" s="18">
        <v>0</v>
      </c>
      <c r="Q26" s="41">
        <v>391</v>
      </c>
      <c r="R26" s="18">
        <v>0.11026508742244782</v>
      </c>
      <c r="S26" s="41">
        <v>14</v>
      </c>
      <c r="T26" s="18">
        <v>3.948110547095319E-3</v>
      </c>
      <c r="U26" s="41">
        <v>94</v>
      </c>
      <c r="V26" s="18">
        <v>2.6508742244782856E-2</v>
      </c>
      <c r="W26" s="41">
        <v>1274</v>
      </c>
      <c r="X26" s="18">
        <v>0.35927805978567401</v>
      </c>
      <c r="Y26" s="41">
        <v>69</v>
      </c>
      <c r="Z26" s="18">
        <v>1.94585448392555E-2</v>
      </c>
      <c r="AB26" s="19" t="s">
        <v>30</v>
      </c>
      <c r="AC26" s="26">
        <f t="shared" si="0"/>
        <v>0.18330513254371122</v>
      </c>
      <c r="AD26" s="26">
        <f t="shared" si="1"/>
        <v>6.9091934574168082E-2</v>
      </c>
      <c r="AE26" s="26">
        <f t="shared" si="2"/>
        <v>0.11421319796954314</v>
      </c>
      <c r="AG26" s="70" t="s">
        <v>30</v>
      </c>
      <c r="AH26" s="71"/>
      <c r="AI26" s="71"/>
      <c r="AJ26" s="71"/>
    </row>
    <row r="27" spans="1:36" x14ac:dyDescent="0.2">
      <c r="A27" s="19" t="s">
        <v>49</v>
      </c>
      <c r="B27" s="41">
        <v>19072</v>
      </c>
      <c r="C27" s="41">
        <v>853</v>
      </c>
      <c r="D27" s="18">
        <v>4.4725251677852351E-2</v>
      </c>
      <c r="E27" s="41">
        <v>5190</v>
      </c>
      <c r="F27" s="18">
        <v>0.27212667785234901</v>
      </c>
      <c r="G27" s="41">
        <v>5190</v>
      </c>
      <c r="H27" s="18">
        <v>0.27212667785234901</v>
      </c>
      <c r="I27" s="41">
        <v>4512</v>
      </c>
      <c r="J27" s="18">
        <v>0.86936416184971099</v>
      </c>
      <c r="K27" s="41">
        <v>678</v>
      </c>
      <c r="L27" s="18">
        <v>0.13063583815028901</v>
      </c>
      <c r="M27" s="41">
        <v>1612</v>
      </c>
      <c r="N27" s="18">
        <v>8.4521812080536912E-2</v>
      </c>
      <c r="O27" s="55">
        <v>14</v>
      </c>
      <c r="P27" s="18">
        <v>7.3406040268456378E-4</v>
      </c>
      <c r="Q27" s="41">
        <v>2876</v>
      </c>
      <c r="R27" s="18">
        <v>0.15079697986577181</v>
      </c>
      <c r="S27" s="41">
        <v>415</v>
      </c>
      <c r="T27" s="18">
        <v>2.175964765100671E-2</v>
      </c>
      <c r="U27" s="41">
        <v>819</v>
      </c>
      <c r="V27" s="18">
        <v>4.2942533557046983E-2</v>
      </c>
      <c r="W27" s="41">
        <v>6547</v>
      </c>
      <c r="X27" s="18">
        <v>0.34327810402684567</v>
      </c>
      <c r="Y27" s="41">
        <v>746</v>
      </c>
      <c r="Z27" s="18">
        <v>3.9114932885906041E-2</v>
      </c>
      <c r="AB27" s="19" t="s">
        <v>49</v>
      </c>
      <c r="AC27" s="26">
        <f t="shared" si="0"/>
        <v>0.2578125</v>
      </c>
      <c r="AD27" s="26">
        <f t="shared" si="1"/>
        <v>8.4521812080536912E-2</v>
      </c>
      <c r="AE27" s="26">
        <f t="shared" si="2"/>
        <v>0.17329068791946309</v>
      </c>
      <c r="AG27" s="70" t="s">
        <v>33</v>
      </c>
      <c r="AH27" s="71"/>
      <c r="AI27" s="71"/>
      <c r="AJ27" s="71"/>
    </row>
    <row r="28" spans="1:36" x14ac:dyDescent="0.2">
      <c r="A28" s="19" t="s">
        <v>50</v>
      </c>
      <c r="B28" s="41">
        <v>3838</v>
      </c>
      <c r="C28" s="41">
        <v>198</v>
      </c>
      <c r="D28" s="18">
        <v>5.1589369463262119E-2</v>
      </c>
      <c r="E28" s="41">
        <v>906</v>
      </c>
      <c r="F28" s="18">
        <v>0.23606044815007818</v>
      </c>
      <c r="G28" s="41">
        <v>906</v>
      </c>
      <c r="H28" s="18">
        <v>0.23606044815007818</v>
      </c>
      <c r="I28" s="41">
        <v>872</v>
      </c>
      <c r="J28" s="18">
        <v>0.96247240618101548</v>
      </c>
      <c r="K28" s="41">
        <v>34</v>
      </c>
      <c r="L28" s="18">
        <v>3.7527593818984545E-2</v>
      </c>
      <c r="M28" s="41">
        <v>114</v>
      </c>
      <c r="N28" s="18">
        <v>2.9702970297029702E-2</v>
      </c>
      <c r="O28" s="55">
        <v>12</v>
      </c>
      <c r="P28" s="18">
        <v>3.126628452318916E-3</v>
      </c>
      <c r="Q28" s="41">
        <v>707</v>
      </c>
      <c r="R28" s="18">
        <v>0.18421052631578946</v>
      </c>
      <c r="S28" s="41">
        <v>12</v>
      </c>
      <c r="T28" s="18">
        <v>3.126628452318916E-3</v>
      </c>
      <c r="U28" s="41">
        <v>77</v>
      </c>
      <c r="V28" s="18">
        <v>2.0062532569046377E-2</v>
      </c>
      <c r="W28" s="41">
        <v>1618</v>
      </c>
      <c r="X28" s="18">
        <v>0.42157373632100054</v>
      </c>
      <c r="Y28" s="41">
        <v>194</v>
      </c>
      <c r="Z28" s="18">
        <v>5.0547159979155813E-2</v>
      </c>
      <c r="AB28" s="19" t="s">
        <v>50</v>
      </c>
      <c r="AC28" s="26">
        <f t="shared" si="0"/>
        <v>0.22016675351745701</v>
      </c>
      <c r="AD28" s="26">
        <f t="shared" si="1"/>
        <v>2.9702970297029702E-2</v>
      </c>
      <c r="AE28" s="26">
        <f t="shared" si="2"/>
        <v>0.19046378322042731</v>
      </c>
      <c r="AG28" s="70" t="s">
        <v>23</v>
      </c>
      <c r="AH28" s="71"/>
      <c r="AI28" s="71"/>
      <c r="AJ28" s="71"/>
    </row>
    <row r="29" spans="1:36" x14ac:dyDescent="0.2">
      <c r="A29" s="19" t="s">
        <v>33</v>
      </c>
      <c r="B29" s="41">
        <v>18090</v>
      </c>
      <c r="C29" s="41">
        <v>848</v>
      </c>
      <c r="D29" s="18">
        <v>4.6876727473742399E-2</v>
      </c>
      <c r="E29" s="41">
        <v>13232</v>
      </c>
      <c r="F29" s="18">
        <v>0.73145384190160312</v>
      </c>
      <c r="G29" s="41">
        <v>13232</v>
      </c>
      <c r="H29" s="18">
        <v>0.73145384190160312</v>
      </c>
      <c r="I29" s="41">
        <v>12059</v>
      </c>
      <c r="J29" s="18">
        <v>0.91135126964933499</v>
      </c>
      <c r="K29" s="41">
        <v>1173</v>
      </c>
      <c r="L29" s="18">
        <v>8.8648730350665048E-2</v>
      </c>
      <c r="M29" s="41">
        <v>1210</v>
      </c>
      <c r="N29" s="18">
        <v>6.6887783305693754E-2</v>
      </c>
      <c r="O29" s="55">
        <v>79</v>
      </c>
      <c r="P29" s="18">
        <v>4.3670536207849643E-3</v>
      </c>
      <c r="Q29" s="41">
        <v>1269</v>
      </c>
      <c r="R29" s="18">
        <v>7.0149253731343286E-2</v>
      </c>
      <c r="S29" s="41">
        <v>806</v>
      </c>
      <c r="T29" s="18">
        <v>4.455500276395799E-2</v>
      </c>
      <c r="U29" s="41">
        <v>151</v>
      </c>
      <c r="V29" s="18">
        <v>8.3471531232725271E-3</v>
      </c>
      <c r="W29" s="41">
        <v>264</v>
      </c>
      <c r="X29" s="18">
        <v>1.4593698175787729E-2</v>
      </c>
      <c r="Y29" s="41">
        <v>231</v>
      </c>
      <c r="Z29" s="18">
        <v>1.2769485903814262E-2</v>
      </c>
      <c r="AB29" s="19" t="s">
        <v>33</v>
      </c>
      <c r="AC29" s="26">
        <f t="shared" si="0"/>
        <v>0.18595909342177999</v>
      </c>
      <c r="AD29" s="26">
        <f t="shared" si="1"/>
        <v>6.6887783305693754E-2</v>
      </c>
      <c r="AE29" s="26">
        <f t="shared" si="2"/>
        <v>0.11907131011608624</v>
      </c>
    </row>
    <row r="30" spans="1:36" ht="15" customHeight="1" x14ac:dyDescent="0.2"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Z30" s="24"/>
    </row>
    <row r="31" spans="1:36" x14ac:dyDescent="0.2">
      <c r="A31" t="s">
        <v>34</v>
      </c>
      <c r="E31" s="116"/>
      <c r="F31" s="116" t="s">
        <v>132</v>
      </c>
      <c r="G31" s="116"/>
      <c r="H31" s="116"/>
      <c r="I31" s="116"/>
      <c r="J31" s="116"/>
      <c r="K31" s="116"/>
      <c r="L31" s="116"/>
      <c r="M31" s="116" t="s">
        <v>3</v>
      </c>
      <c r="N31" s="116" t="s">
        <v>133</v>
      </c>
      <c r="O31" s="116" t="s">
        <v>3</v>
      </c>
      <c r="P31" s="116" t="s">
        <v>134</v>
      </c>
      <c r="Q31" s="116" t="s">
        <v>3</v>
      </c>
      <c r="R31" s="116" t="s">
        <v>135</v>
      </c>
      <c r="S31" s="116" t="s">
        <v>3</v>
      </c>
      <c r="T31" s="116" t="s">
        <v>121</v>
      </c>
      <c r="U31" s="116" t="s">
        <v>3</v>
      </c>
      <c r="V31" s="116" t="s">
        <v>122</v>
      </c>
      <c r="W31" s="116" t="s">
        <v>3</v>
      </c>
      <c r="X31" s="116" t="s">
        <v>123</v>
      </c>
      <c r="Y31" s="116" t="s">
        <v>3</v>
      </c>
      <c r="Z31" s="116" t="s">
        <v>124</v>
      </c>
      <c r="AA31" s="116" t="s">
        <v>3</v>
      </c>
    </row>
    <row r="32" spans="1:36" ht="15" customHeight="1" x14ac:dyDescent="0.2">
      <c r="A32" t="s">
        <v>136</v>
      </c>
      <c r="E32" s="116" t="s">
        <v>44</v>
      </c>
      <c r="F32" s="126">
        <v>7898576</v>
      </c>
      <c r="G32" s="116"/>
      <c r="H32" s="116"/>
      <c r="I32" s="116"/>
      <c r="J32" s="116"/>
      <c r="K32" s="116"/>
      <c r="L32" s="116"/>
      <c r="M32" s="77">
        <v>5.1713985735929162E-2</v>
      </c>
      <c r="N32" s="126">
        <v>130348039</v>
      </c>
      <c r="O32" s="77">
        <v>0.85342175976433443</v>
      </c>
      <c r="P32" s="126">
        <v>3664160</v>
      </c>
      <c r="Q32" s="77">
        <v>2.3990187341890765E-2</v>
      </c>
      <c r="R32" s="96">
        <f>O5+Q5</f>
        <v>3010642</v>
      </c>
      <c r="S32" s="78">
        <f>P5+R5</f>
        <v>1.9711438801625663E-2</v>
      </c>
      <c r="T32" s="126">
        <v>902469</v>
      </c>
      <c r="U32" s="77">
        <v>5.9086940472710845E-3</v>
      </c>
      <c r="V32" s="126">
        <v>837646</v>
      </c>
      <c r="W32" s="77">
        <v>5.4842813813221671E-3</v>
      </c>
      <c r="X32" s="126">
        <v>4073891</v>
      </c>
      <c r="Y32" s="77">
        <v>2.6672800396391728E-2</v>
      </c>
      <c r="Z32" s="126">
        <v>2000358</v>
      </c>
      <c r="AA32" s="77">
        <v>1.309685253123497E-2</v>
      </c>
      <c r="AB32" s="26"/>
    </row>
    <row r="33" spans="1:28" x14ac:dyDescent="0.2">
      <c r="A33" t="s">
        <v>137</v>
      </c>
      <c r="E33" s="116" t="s">
        <v>10</v>
      </c>
      <c r="F33" s="126">
        <v>182654</v>
      </c>
      <c r="G33" s="116"/>
      <c r="H33" s="116"/>
      <c r="I33" s="116"/>
      <c r="J33" s="116"/>
      <c r="K33" s="116"/>
      <c r="L33" s="116"/>
      <c r="M33" s="77">
        <v>5.1523862797482792E-2</v>
      </c>
      <c r="N33" s="126">
        <v>2743119</v>
      </c>
      <c r="O33" s="77">
        <v>0.77379135958242462</v>
      </c>
      <c r="P33" s="126">
        <v>117886</v>
      </c>
      <c r="Q33" s="77">
        <v>3.3253813711958437E-2</v>
      </c>
      <c r="R33" s="96">
        <f t="shared" ref="R33:R56" si="3">O6+Q6</f>
        <v>180979</v>
      </c>
      <c r="S33" s="78">
        <f t="shared" ref="S33:S56" si="4">P6+R6</f>
        <v>5.1051371255081399E-2</v>
      </c>
      <c r="T33" s="126">
        <v>65570</v>
      </c>
      <c r="U33" s="77">
        <v>1.8496280856871168E-2</v>
      </c>
      <c r="V33" s="126">
        <v>30668</v>
      </c>
      <c r="W33" s="77">
        <v>8.6509675357408118E-3</v>
      </c>
      <c r="X33" s="126">
        <v>174438</v>
      </c>
      <c r="Y33" s="77">
        <v>4.9206256521441102E-2</v>
      </c>
      <c r="Z33" s="126">
        <v>49723</v>
      </c>
      <c r="AA33" s="77">
        <v>1.4026087738999621E-2</v>
      </c>
      <c r="AB33" s="26"/>
    </row>
    <row r="34" spans="1:28" x14ac:dyDescent="0.2">
      <c r="A34" t="s">
        <v>138</v>
      </c>
      <c r="E34" s="85" t="s">
        <v>11</v>
      </c>
      <c r="F34" s="126">
        <v>12591</v>
      </c>
      <c r="G34" s="116"/>
      <c r="H34" s="116"/>
      <c r="I34" s="116"/>
      <c r="J34" s="116"/>
      <c r="K34" s="116"/>
      <c r="L34" s="116"/>
      <c r="M34" s="77">
        <v>3.3605483210603436E-2</v>
      </c>
      <c r="N34" s="126">
        <v>165614</v>
      </c>
      <c r="O34" s="77">
        <v>0.44202513671994897</v>
      </c>
      <c r="P34" s="126">
        <v>50707</v>
      </c>
      <c r="Q34" s="77">
        <v>0.13533740268128572</v>
      </c>
      <c r="R34" s="96">
        <f t="shared" si="3"/>
        <v>69400</v>
      </c>
      <c r="S34" s="78">
        <f t="shared" si="4"/>
        <v>0.1852291743956698</v>
      </c>
      <c r="T34" s="126">
        <v>4304</v>
      </c>
      <c r="U34" s="77">
        <v>1.1487411622463441E-2</v>
      </c>
      <c r="V34" s="126">
        <v>8495</v>
      </c>
      <c r="W34" s="77">
        <v>2.2673225309671686E-2</v>
      </c>
      <c r="X34" s="126">
        <v>56622</v>
      </c>
      <c r="Y34" s="77">
        <v>0.15112458663734316</v>
      </c>
      <c r="Z34" s="126">
        <v>6938</v>
      </c>
      <c r="AA34" s="77">
        <v>1.851757942301379E-2</v>
      </c>
      <c r="AB34" s="26"/>
    </row>
    <row r="35" spans="1:28" x14ac:dyDescent="0.2">
      <c r="E35" s="104" t="s">
        <v>12</v>
      </c>
      <c r="F35" s="126">
        <v>375</v>
      </c>
      <c r="G35" s="116"/>
      <c r="H35" s="116"/>
      <c r="I35" s="116"/>
      <c r="J35" s="116"/>
      <c r="K35" s="116"/>
      <c r="L35" s="116"/>
      <c r="M35" s="77">
        <v>3.5785857429144002E-2</v>
      </c>
      <c r="N35" s="126">
        <v>2701</v>
      </c>
      <c r="O35" s="77">
        <v>0.25775360244298118</v>
      </c>
      <c r="P35" s="126">
        <v>1974</v>
      </c>
      <c r="Q35" s="77">
        <v>0.18837675350701402</v>
      </c>
      <c r="R35" s="96">
        <f t="shared" si="3"/>
        <v>1926</v>
      </c>
      <c r="S35" s="78">
        <f t="shared" si="4"/>
        <v>0.1837961637560836</v>
      </c>
      <c r="T35" s="126">
        <v>106</v>
      </c>
      <c r="U35" s="77">
        <v>1.0115469033304705E-2</v>
      </c>
      <c r="V35" s="126">
        <v>617</v>
      </c>
      <c r="W35" s="77">
        <v>5.8879664090084931E-2</v>
      </c>
      <c r="X35" s="126">
        <v>2506</v>
      </c>
      <c r="Y35" s="77">
        <v>0.23914495657982632</v>
      </c>
      <c r="Z35" s="126">
        <v>274</v>
      </c>
      <c r="AA35" s="77">
        <v>2.6147533161561216E-2</v>
      </c>
      <c r="AB35" s="26"/>
    </row>
    <row r="36" spans="1:28" x14ac:dyDescent="0.2">
      <c r="E36" s="104" t="s">
        <v>45</v>
      </c>
      <c r="F36" s="126">
        <v>421</v>
      </c>
      <c r="G36" s="116"/>
      <c r="H36" s="116"/>
      <c r="I36" s="116"/>
      <c r="J36" s="116"/>
      <c r="K36" s="116"/>
      <c r="L36" s="116"/>
      <c r="M36" s="77">
        <v>3.8286649690796655E-2</v>
      </c>
      <c r="N36" s="126">
        <v>2772</v>
      </c>
      <c r="O36" s="77">
        <v>0.25209166969807201</v>
      </c>
      <c r="P36" s="126">
        <v>324</v>
      </c>
      <c r="Q36" s="77">
        <v>2.9465260094579847E-2</v>
      </c>
      <c r="R36" s="96">
        <f t="shared" si="3"/>
        <v>2281</v>
      </c>
      <c r="S36" s="78">
        <f t="shared" si="4"/>
        <v>0.20743906875227355</v>
      </c>
      <c r="T36" s="126">
        <v>126</v>
      </c>
      <c r="U36" s="77">
        <v>1.1458712259003273E-2</v>
      </c>
      <c r="V36" s="126">
        <v>253</v>
      </c>
      <c r="W36" s="77">
        <v>2.3008366678792289E-2</v>
      </c>
      <c r="X36" s="126">
        <v>4436</v>
      </c>
      <c r="Y36" s="77">
        <v>0.40341942524554386</v>
      </c>
      <c r="Z36" s="126">
        <v>383</v>
      </c>
      <c r="AA36" s="77">
        <v>3.4830847580938525E-2</v>
      </c>
      <c r="AB36" s="26"/>
    </row>
    <row r="37" spans="1:28" x14ac:dyDescent="0.2">
      <c r="E37" s="104" t="s">
        <v>46</v>
      </c>
      <c r="F37" s="126">
        <v>466</v>
      </c>
      <c r="G37" s="116"/>
      <c r="H37" s="116"/>
      <c r="I37" s="116"/>
      <c r="J37" s="116"/>
      <c r="K37" s="116"/>
      <c r="L37" s="116"/>
      <c r="M37" s="77">
        <v>6.8559658672943946E-2</v>
      </c>
      <c r="N37" s="126">
        <v>1265</v>
      </c>
      <c r="O37" s="77">
        <v>0.18611151978814183</v>
      </c>
      <c r="P37" s="126">
        <v>149</v>
      </c>
      <c r="Q37" s="77">
        <v>2.1921435927615123E-2</v>
      </c>
      <c r="R37" s="96">
        <f t="shared" si="3"/>
        <v>1137</v>
      </c>
      <c r="S37" s="78">
        <f t="shared" si="4"/>
        <v>0.16727968221274092</v>
      </c>
      <c r="T37" s="126">
        <v>94</v>
      </c>
      <c r="U37" s="77">
        <v>1.3829630719435045E-2</v>
      </c>
      <c r="V37" s="126">
        <v>169</v>
      </c>
      <c r="W37" s="77">
        <v>2.4863910548771517E-2</v>
      </c>
      <c r="X37" s="126">
        <v>3393</v>
      </c>
      <c r="Y37" s="77">
        <v>0.49919081947918198</v>
      </c>
      <c r="Z37" s="126">
        <v>124</v>
      </c>
      <c r="AA37" s="77">
        <v>1.8243342651169635E-2</v>
      </c>
      <c r="AB37" s="26"/>
    </row>
    <row r="38" spans="1:28" x14ac:dyDescent="0.2">
      <c r="E38" s="104" t="s">
        <v>15</v>
      </c>
      <c r="F38" s="126">
        <v>1553</v>
      </c>
      <c r="G38" s="116"/>
      <c r="H38" s="116"/>
      <c r="I38" s="116"/>
      <c r="J38" s="116"/>
      <c r="K38" s="116"/>
      <c r="L38" s="116"/>
      <c r="M38" s="77">
        <v>4.3710771482450957E-2</v>
      </c>
      <c r="N38" s="126">
        <v>17705</v>
      </c>
      <c r="O38" s="77">
        <v>0.4983253117171888</v>
      </c>
      <c r="P38" s="126">
        <v>5135</v>
      </c>
      <c r="Q38" s="77">
        <v>0.14452982070984266</v>
      </c>
      <c r="R38" s="96">
        <f t="shared" si="3"/>
        <v>6453</v>
      </c>
      <c r="S38" s="78">
        <f t="shared" si="4"/>
        <v>0.18162627712572829</v>
      </c>
      <c r="T38" s="126">
        <v>185</v>
      </c>
      <c r="U38" s="77">
        <v>5.2070139885727149E-3</v>
      </c>
      <c r="V38" s="126">
        <v>1329</v>
      </c>
      <c r="W38" s="77">
        <v>3.7406062653043991E-2</v>
      </c>
      <c r="X38" s="126">
        <v>2831</v>
      </c>
      <c r="Y38" s="77">
        <v>7.9681387035942464E-2</v>
      </c>
      <c r="Z38" s="126">
        <v>338</v>
      </c>
      <c r="AA38" s="77">
        <v>9.5133552872301505E-3</v>
      </c>
      <c r="AB38" s="26"/>
    </row>
    <row r="39" spans="1:28" x14ac:dyDescent="0.2">
      <c r="E39" s="104" t="s">
        <v>16</v>
      </c>
      <c r="F39" s="126">
        <v>552</v>
      </c>
      <c r="G39" s="116"/>
      <c r="H39" s="116"/>
      <c r="I39" s="116"/>
      <c r="J39" s="116"/>
      <c r="K39" s="116"/>
      <c r="L39" s="116"/>
      <c r="M39" s="77">
        <v>4.6875E-2</v>
      </c>
      <c r="N39" s="126">
        <v>5331</v>
      </c>
      <c r="O39" s="77">
        <v>0.45270040760869568</v>
      </c>
      <c r="P39" s="126">
        <v>1453</v>
      </c>
      <c r="Q39" s="77">
        <v>0.12338654891304347</v>
      </c>
      <c r="R39" s="96">
        <f t="shared" si="3"/>
        <v>1512</v>
      </c>
      <c r="S39" s="78">
        <f t="shared" si="4"/>
        <v>0.12839673913043478</v>
      </c>
      <c r="T39" s="126">
        <v>10</v>
      </c>
      <c r="U39" s="77">
        <v>8.4918478260869563E-4</v>
      </c>
      <c r="V39" s="126">
        <v>504</v>
      </c>
      <c r="W39" s="77">
        <v>4.2798913043478264E-2</v>
      </c>
      <c r="X39" s="126">
        <v>2032</v>
      </c>
      <c r="Y39" s="77">
        <v>0.17255434782608695</v>
      </c>
      <c r="Z39" s="126">
        <v>382</v>
      </c>
      <c r="AA39" s="77">
        <v>3.2438858695652176E-2</v>
      </c>
      <c r="AB39" s="26"/>
    </row>
    <row r="40" spans="1:28" x14ac:dyDescent="0.2">
      <c r="E40" s="104" t="s">
        <v>17</v>
      </c>
      <c r="F40" s="126">
        <v>1279</v>
      </c>
      <c r="G40" s="116"/>
      <c r="H40" s="116"/>
      <c r="I40" s="116"/>
      <c r="J40" s="116"/>
      <c r="K40" s="116"/>
      <c r="L40" s="116"/>
      <c r="M40" s="77">
        <v>2.0204413692873957E-2</v>
      </c>
      <c r="N40" s="126">
        <v>34240</v>
      </c>
      <c r="O40" s="77">
        <v>0.5408906370946085</v>
      </c>
      <c r="P40" s="126">
        <v>12439</v>
      </c>
      <c r="Q40" s="77">
        <v>0.19649937601693443</v>
      </c>
      <c r="R40" s="96">
        <f t="shared" si="3"/>
        <v>10444</v>
      </c>
      <c r="S40" s="78">
        <f t="shared" si="4"/>
        <v>0.16498428194556342</v>
      </c>
      <c r="T40" s="126">
        <v>212</v>
      </c>
      <c r="U40" s="77">
        <v>3.348972402571758E-3</v>
      </c>
      <c r="V40" s="126">
        <v>711</v>
      </c>
      <c r="W40" s="77">
        <v>1.1231695180323208E-2</v>
      </c>
      <c r="X40" s="126">
        <v>2569</v>
      </c>
      <c r="Y40" s="77">
        <v>4.0582594821730406E-2</v>
      </c>
      <c r="Z40" s="126">
        <v>1409</v>
      </c>
      <c r="AA40" s="77">
        <v>2.2258028845394372E-2</v>
      </c>
      <c r="AB40" s="26"/>
    </row>
    <row r="41" spans="1:28" x14ac:dyDescent="0.2">
      <c r="E41" s="104" t="s">
        <v>18</v>
      </c>
      <c r="F41" s="126">
        <v>587</v>
      </c>
      <c r="G41" s="116"/>
      <c r="H41" s="116"/>
      <c r="I41" s="116"/>
      <c r="J41" s="116"/>
      <c r="K41" s="116"/>
      <c r="L41" s="116"/>
      <c r="M41" s="77">
        <v>6.25E-2</v>
      </c>
      <c r="N41" s="126">
        <v>1502</v>
      </c>
      <c r="O41" s="77">
        <v>0.15992333901192504</v>
      </c>
      <c r="P41" s="126">
        <v>244</v>
      </c>
      <c r="Q41" s="77">
        <v>2.5979557069846677E-2</v>
      </c>
      <c r="R41" s="96">
        <f t="shared" si="3"/>
        <v>1502</v>
      </c>
      <c r="S41" s="78">
        <f t="shared" si="4"/>
        <v>0.15992333901192504</v>
      </c>
      <c r="T41" s="126">
        <v>140</v>
      </c>
      <c r="U41" s="77">
        <v>1.4906303236797274E-2</v>
      </c>
      <c r="V41" s="126">
        <v>156</v>
      </c>
      <c r="W41" s="77">
        <v>1.6609880749574105E-2</v>
      </c>
      <c r="X41" s="126">
        <v>4992</v>
      </c>
      <c r="Y41" s="77">
        <v>0.53151618398637135</v>
      </c>
      <c r="Z41" s="126">
        <v>269</v>
      </c>
      <c r="AA41" s="77">
        <v>2.8641396933560478E-2</v>
      </c>
      <c r="AB41" s="26"/>
    </row>
    <row r="42" spans="1:28" ht="19" x14ac:dyDescent="0.25">
      <c r="A42" s="62"/>
      <c r="E42" s="104" t="s">
        <v>19</v>
      </c>
      <c r="F42" s="126">
        <v>683</v>
      </c>
      <c r="G42" s="116"/>
      <c r="H42" s="116"/>
      <c r="I42" s="116"/>
      <c r="J42" s="116"/>
      <c r="K42" s="116"/>
      <c r="L42" s="116"/>
      <c r="M42" s="77">
        <v>2.50826294528094E-2</v>
      </c>
      <c r="N42" s="126">
        <v>9934</v>
      </c>
      <c r="O42" s="77">
        <v>0.3648182152038193</v>
      </c>
      <c r="P42" s="126">
        <v>1267</v>
      </c>
      <c r="Q42" s="77">
        <v>4.652956298200514E-2</v>
      </c>
      <c r="R42" s="96">
        <f t="shared" si="3"/>
        <v>13159</v>
      </c>
      <c r="S42" s="78">
        <f t="shared" si="4"/>
        <v>0.48325376423062799</v>
      </c>
      <c r="T42" s="126">
        <v>178</v>
      </c>
      <c r="U42" s="77">
        <v>6.5369078222548655E-3</v>
      </c>
      <c r="V42" s="126">
        <v>89</v>
      </c>
      <c r="W42" s="77">
        <v>3.2684539111274328E-3</v>
      </c>
      <c r="X42" s="126">
        <v>1567</v>
      </c>
      <c r="Y42" s="77">
        <v>5.7546823356591996E-2</v>
      </c>
      <c r="Z42" s="126">
        <v>353</v>
      </c>
      <c r="AA42" s="77">
        <v>1.2963643040763863E-2</v>
      </c>
      <c r="AB42" s="26"/>
    </row>
    <row r="43" spans="1:28" ht="19" x14ac:dyDescent="0.25">
      <c r="A43" s="63"/>
      <c r="B43" s="26"/>
      <c r="E43" s="104" t="s">
        <v>20</v>
      </c>
      <c r="F43" s="126">
        <v>593</v>
      </c>
      <c r="G43" s="116"/>
      <c r="H43" s="116"/>
      <c r="I43" s="116"/>
      <c r="J43" s="116"/>
      <c r="K43" s="116"/>
      <c r="L43" s="116"/>
      <c r="M43" s="77">
        <v>3.5787567893783949E-2</v>
      </c>
      <c r="N43" s="126">
        <v>2479</v>
      </c>
      <c r="O43" s="77">
        <v>0.14960772480386239</v>
      </c>
      <c r="P43" s="126">
        <v>1828</v>
      </c>
      <c r="Q43" s="77">
        <v>0.11031985515992758</v>
      </c>
      <c r="R43" s="96">
        <f t="shared" si="3"/>
        <v>2454</v>
      </c>
      <c r="S43" s="78">
        <f t="shared" si="4"/>
        <v>0.14809897404948702</v>
      </c>
      <c r="T43" s="126">
        <v>69</v>
      </c>
      <c r="U43" s="77">
        <v>4.1641520820760412E-3</v>
      </c>
      <c r="V43" s="126">
        <v>713</v>
      </c>
      <c r="W43" s="77">
        <v>4.3029571514785758E-2</v>
      </c>
      <c r="X43" s="126">
        <v>8171</v>
      </c>
      <c r="Y43" s="77">
        <v>0.49312009656004829</v>
      </c>
      <c r="Z43" s="126">
        <v>263</v>
      </c>
      <c r="AA43" s="77">
        <v>1.5872057936028968E-2</v>
      </c>
      <c r="AB43" s="26"/>
    </row>
    <row r="44" spans="1:28" ht="19" x14ac:dyDescent="0.25">
      <c r="A44" s="64"/>
      <c r="B44" s="26"/>
      <c r="E44" s="104" t="s">
        <v>21</v>
      </c>
      <c r="F44" s="126">
        <v>367</v>
      </c>
      <c r="G44" s="116"/>
      <c r="H44" s="116"/>
      <c r="I44" s="116"/>
      <c r="J44" s="116"/>
      <c r="K44" s="116"/>
      <c r="L44" s="116"/>
      <c r="M44" s="77">
        <v>1.8567236669027622E-2</v>
      </c>
      <c r="N44" s="126">
        <v>13766</v>
      </c>
      <c r="O44" s="77">
        <v>0.69644844682788631</v>
      </c>
      <c r="P44" s="126">
        <v>2397</v>
      </c>
      <c r="Q44" s="77">
        <v>0.12126884549225944</v>
      </c>
      <c r="R44" s="96">
        <f t="shared" si="3"/>
        <v>1932</v>
      </c>
      <c r="S44" s="78">
        <f t="shared" si="4"/>
        <v>9.7743600121420623E-2</v>
      </c>
      <c r="T44" s="126">
        <v>526</v>
      </c>
      <c r="U44" s="77">
        <v>2.6611352828088637E-2</v>
      </c>
      <c r="V44" s="126">
        <v>51</v>
      </c>
      <c r="W44" s="77">
        <v>2.5801882019629665E-3</v>
      </c>
      <c r="X44" s="126">
        <v>445</v>
      </c>
      <c r="Y44" s="77">
        <v>2.2513406860265102E-2</v>
      </c>
      <c r="Z44" s="126">
        <v>282</v>
      </c>
      <c r="AA44" s="77">
        <v>1.4266922999089346E-2</v>
      </c>
      <c r="AB44" s="26"/>
    </row>
    <row r="45" spans="1:28" ht="19" x14ac:dyDescent="0.25">
      <c r="A45" s="64"/>
      <c r="B45" s="26"/>
      <c r="E45" s="104" t="s">
        <v>22</v>
      </c>
      <c r="F45" s="126">
        <v>1184</v>
      </c>
      <c r="G45" s="116"/>
      <c r="H45" s="116"/>
      <c r="I45" s="116"/>
      <c r="J45" s="116"/>
      <c r="K45" s="116"/>
      <c r="L45" s="116"/>
      <c r="M45" s="77">
        <v>4.9214398536869236E-2</v>
      </c>
      <c r="N45" s="126">
        <v>10043</v>
      </c>
      <c r="O45" s="77">
        <v>0.41744949704879875</v>
      </c>
      <c r="P45" s="126">
        <v>2387</v>
      </c>
      <c r="Q45" s="77">
        <v>9.9218555158367278E-2</v>
      </c>
      <c r="R45" s="96">
        <f t="shared" si="3"/>
        <v>7503</v>
      </c>
      <c r="S45" s="78">
        <f t="shared" si="4"/>
        <v>0.31187131099842047</v>
      </c>
      <c r="T45" s="126">
        <v>172</v>
      </c>
      <c r="U45" s="77">
        <v>7.1493889766397868E-3</v>
      </c>
      <c r="V45" s="126">
        <v>1429</v>
      </c>
      <c r="W45" s="77">
        <v>5.9398121207082884E-2</v>
      </c>
      <c r="X45" s="126">
        <v>1156</v>
      </c>
      <c r="Y45" s="77">
        <v>4.8050544517416242E-2</v>
      </c>
      <c r="Z45" s="126">
        <v>184</v>
      </c>
      <c r="AA45" s="77">
        <v>7.6481835564053535E-3</v>
      </c>
      <c r="AB45" s="26"/>
    </row>
    <row r="46" spans="1:28" ht="19" x14ac:dyDescent="0.25">
      <c r="A46" s="63"/>
      <c r="B46" s="26"/>
      <c r="E46" s="104" t="s">
        <v>23</v>
      </c>
      <c r="F46" s="126">
        <v>116</v>
      </c>
      <c r="G46" s="116"/>
      <c r="H46" s="116"/>
      <c r="I46" s="116"/>
      <c r="J46" s="116"/>
      <c r="K46" s="116"/>
      <c r="L46" s="116"/>
      <c r="M46" s="77">
        <v>4.9382716049382713E-2</v>
      </c>
      <c r="N46" s="126">
        <v>261</v>
      </c>
      <c r="O46" s="77">
        <v>0.1111111111111111</v>
      </c>
      <c r="P46" s="126">
        <v>152</v>
      </c>
      <c r="Q46" s="77">
        <v>6.4708386547467009E-2</v>
      </c>
      <c r="R46" s="96">
        <f t="shared" si="3"/>
        <v>186</v>
      </c>
      <c r="S46" s="78">
        <f t="shared" si="4"/>
        <v>7.9182630906768844E-2</v>
      </c>
      <c r="T46" s="126">
        <v>0</v>
      </c>
      <c r="U46" s="77">
        <v>0</v>
      </c>
      <c r="V46" s="126">
        <v>35</v>
      </c>
      <c r="W46" s="77">
        <v>1.489995742869306E-2</v>
      </c>
      <c r="X46" s="126">
        <v>1591</v>
      </c>
      <c r="Y46" s="77">
        <v>0.67730949340144742</v>
      </c>
      <c r="Z46" s="126">
        <v>8</v>
      </c>
      <c r="AA46" s="77">
        <v>3.4057045551298426E-3</v>
      </c>
      <c r="AB46" s="26"/>
    </row>
    <row r="47" spans="1:28" ht="19" x14ac:dyDescent="0.25">
      <c r="A47" s="64"/>
      <c r="B47" s="26"/>
      <c r="E47" s="104" t="s">
        <v>24</v>
      </c>
      <c r="F47" s="126">
        <v>166</v>
      </c>
      <c r="G47" s="116"/>
      <c r="H47" s="116"/>
      <c r="I47" s="116"/>
      <c r="J47" s="116"/>
      <c r="K47" s="116"/>
      <c r="L47" s="116"/>
      <c r="M47" s="77">
        <v>1.321445629676803E-2</v>
      </c>
      <c r="N47" s="126">
        <v>7661</v>
      </c>
      <c r="O47" s="77">
        <v>0.60985511861168606</v>
      </c>
      <c r="P47" s="126">
        <v>2517</v>
      </c>
      <c r="Q47" s="77">
        <v>0.20036618372870563</v>
      </c>
      <c r="R47" s="96">
        <f t="shared" si="3"/>
        <v>1646</v>
      </c>
      <c r="S47" s="78">
        <f t="shared" si="4"/>
        <v>0.13103009074988059</v>
      </c>
      <c r="T47" s="126">
        <v>34</v>
      </c>
      <c r="U47" s="77">
        <v>2.7065753860850182E-3</v>
      </c>
      <c r="V47" s="126">
        <v>42</v>
      </c>
      <c r="W47" s="77">
        <v>3.3434166533991404E-3</v>
      </c>
      <c r="X47" s="126">
        <v>396</v>
      </c>
      <c r="Y47" s="77">
        <v>3.1523642732049037E-2</v>
      </c>
      <c r="Z47" s="126">
        <v>100</v>
      </c>
      <c r="AA47" s="77">
        <v>7.9605158414265253E-3</v>
      </c>
      <c r="AB47" s="26"/>
    </row>
    <row r="48" spans="1:28" ht="19" x14ac:dyDescent="0.25">
      <c r="A48" s="64"/>
      <c r="B48" s="26"/>
      <c r="E48" s="104" t="s">
        <v>47</v>
      </c>
      <c r="F48" s="126">
        <v>229</v>
      </c>
      <c r="G48" s="116"/>
      <c r="H48" s="116"/>
      <c r="I48" s="116"/>
      <c r="J48" s="116"/>
      <c r="K48" s="116"/>
      <c r="L48" s="116"/>
      <c r="M48" s="77">
        <v>2.8115408225905462E-2</v>
      </c>
      <c r="N48" s="126">
        <v>2041</v>
      </c>
      <c r="O48" s="77">
        <v>0.25058317986494782</v>
      </c>
      <c r="P48" s="126">
        <v>848</v>
      </c>
      <c r="Q48" s="77">
        <v>0.10411295273173726</v>
      </c>
      <c r="R48" s="96">
        <f t="shared" si="3"/>
        <v>2232</v>
      </c>
      <c r="S48" s="78">
        <f t="shared" si="4"/>
        <v>0.2740331491712707</v>
      </c>
      <c r="T48" s="126">
        <v>67</v>
      </c>
      <c r="U48" s="77">
        <v>8.2259054634745248E-3</v>
      </c>
      <c r="V48" s="126">
        <v>162</v>
      </c>
      <c r="W48" s="77">
        <v>1.9889502762430938E-2</v>
      </c>
      <c r="X48" s="126">
        <v>2512</v>
      </c>
      <c r="Y48" s="77">
        <v>0.30841006752608963</v>
      </c>
      <c r="Z48" s="126">
        <v>54</v>
      </c>
      <c r="AA48" s="77">
        <v>6.6298342541436465E-3</v>
      </c>
      <c r="AB48" s="26"/>
    </row>
    <row r="49" spans="1:28" ht="19" x14ac:dyDescent="0.25">
      <c r="A49" s="65"/>
      <c r="E49" s="104" t="s">
        <v>48</v>
      </c>
      <c r="F49" s="126">
        <v>355</v>
      </c>
      <c r="G49" s="116"/>
      <c r="H49" s="116"/>
      <c r="I49" s="116"/>
      <c r="J49" s="116"/>
      <c r="K49" s="116"/>
      <c r="L49" s="116"/>
      <c r="M49" s="77">
        <v>5.1374819102749637E-2</v>
      </c>
      <c r="N49" s="126">
        <v>1426</v>
      </c>
      <c r="O49" s="77">
        <v>0.20636758321273516</v>
      </c>
      <c r="P49" s="126">
        <v>60</v>
      </c>
      <c r="Q49" s="77">
        <v>8.6830680173661367E-3</v>
      </c>
      <c r="R49" s="96">
        <f t="shared" si="3"/>
        <v>1498</v>
      </c>
      <c r="S49" s="78">
        <f t="shared" si="4"/>
        <v>0.21678726483357452</v>
      </c>
      <c r="T49" s="126">
        <v>96</v>
      </c>
      <c r="U49" s="77">
        <v>1.3892908827785818E-2</v>
      </c>
      <c r="V49" s="126">
        <v>74</v>
      </c>
      <c r="W49" s="77">
        <v>1.0709117221418235E-2</v>
      </c>
      <c r="X49" s="126">
        <v>3371</v>
      </c>
      <c r="Y49" s="77">
        <v>0.48784370477568739</v>
      </c>
      <c r="Z49" s="126">
        <v>30</v>
      </c>
      <c r="AA49" s="77">
        <v>4.3415340086830683E-3</v>
      </c>
      <c r="AB49" s="26"/>
    </row>
    <row r="50" spans="1:28" ht="19" x14ac:dyDescent="0.25">
      <c r="A50" s="66"/>
      <c r="B50" s="26"/>
      <c r="E50" s="104" t="s">
        <v>27</v>
      </c>
      <c r="F50" s="126">
        <v>628</v>
      </c>
      <c r="G50" s="116"/>
      <c r="H50" s="116"/>
      <c r="I50" s="116"/>
      <c r="J50" s="116"/>
      <c r="K50" s="116"/>
      <c r="L50" s="116"/>
      <c r="M50" s="77">
        <v>3.7285519206792142E-2</v>
      </c>
      <c r="N50" s="126">
        <v>10463</v>
      </c>
      <c r="O50" s="77">
        <v>0.62120762334500979</v>
      </c>
      <c r="P50" s="126">
        <v>1580</v>
      </c>
      <c r="Q50" s="77">
        <v>9.3807516475687233E-2</v>
      </c>
      <c r="R50" s="96">
        <f t="shared" si="3"/>
        <v>2496</v>
      </c>
      <c r="S50" s="78">
        <f t="shared" si="4"/>
        <v>0.14819212729323755</v>
      </c>
      <c r="T50" s="126">
        <v>873</v>
      </c>
      <c r="U50" s="77">
        <v>5.1831621445110727E-2</v>
      </c>
      <c r="V50" s="126">
        <v>347</v>
      </c>
      <c r="W50" s="77">
        <v>2.0602030517128778E-2</v>
      </c>
      <c r="X50" s="126">
        <v>250</v>
      </c>
      <c r="Y50" s="77">
        <v>1.484296146767203E-2</v>
      </c>
      <c r="Z50" s="126">
        <v>206</v>
      </c>
      <c r="AA50" s="77">
        <v>1.2230600249361753E-2</v>
      </c>
      <c r="AB50" s="26"/>
    </row>
    <row r="51" spans="1:28" ht="19" x14ac:dyDescent="0.25">
      <c r="A51" s="66"/>
      <c r="E51" s="104" t="s">
        <v>28</v>
      </c>
      <c r="F51" s="126">
        <v>282</v>
      </c>
      <c r="G51" s="116"/>
      <c r="H51" s="116"/>
      <c r="I51" s="116"/>
      <c r="J51" s="116"/>
      <c r="K51" s="116"/>
      <c r="L51" s="116"/>
      <c r="M51" s="77">
        <v>1.2296154181564489E-2</v>
      </c>
      <c r="N51" s="126">
        <v>10192</v>
      </c>
      <c r="O51" s="77">
        <v>0.44440568588122437</v>
      </c>
      <c r="P51" s="126">
        <v>7150</v>
      </c>
      <c r="Q51" s="77">
        <v>0.31176419290136914</v>
      </c>
      <c r="R51" s="96">
        <f t="shared" si="3"/>
        <v>2357</v>
      </c>
      <c r="S51" s="78">
        <f t="shared" si="4"/>
        <v>0.10277317519839541</v>
      </c>
      <c r="T51" s="126">
        <v>99</v>
      </c>
      <c r="U51" s="77">
        <v>4.316734978634342E-3</v>
      </c>
      <c r="V51" s="126">
        <v>370</v>
      </c>
      <c r="W51" s="77">
        <v>1.6133251940350569E-2</v>
      </c>
      <c r="X51" s="126">
        <v>2183</v>
      </c>
      <c r="Y51" s="77">
        <v>9.5186186448068366E-2</v>
      </c>
      <c r="Z51" s="126">
        <v>301</v>
      </c>
      <c r="AA51" s="77">
        <v>1.3124618470393302E-2</v>
      </c>
      <c r="AB51" s="26"/>
    </row>
    <row r="52" spans="1:28" ht="19" x14ac:dyDescent="0.25">
      <c r="A52" s="66"/>
      <c r="B52" s="26"/>
      <c r="E52" s="104" t="s">
        <v>29</v>
      </c>
      <c r="F52" s="126">
        <v>632</v>
      </c>
      <c r="G52" s="116"/>
      <c r="H52" s="116"/>
      <c r="I52" s="116"/>
      <c r="J52" s="116"/>
      <c r="K52" s="116"/>
      <c r="L52" s="116"/>
      <c r="M52" s="77">
        <v>2.5975093502116641E-2</v>
      </c>
      <c r="N52" s="126">
        <v>11252</v>
      </c>
      <c r="O52" s="77">
        <v>0.46245530393325385</v>
      </c>
      <c r="P52" s="126">
        <v>5500</v>
      </c>
      <c r="Q52" s="77">
        <v>0.22604907319879988</v>
      </c>
      <c r="R52" s="96">
        <f t="shared" si="3"/>
        <v>3334</v>
      </c>
      <c r="S52" s="78">
        <f t="shared" si="4"/>
        <v>0.13702683818996342</v>
      </c>
      <c r="T52" s="126">
        <v>70</v>
      </c>
      <c r="U52" s="77">
        <v>2.876988204348362E-3</v>
      </c>
      <c r="V52" s="126">
        <v>303</v>
      </c>
      <c r="W52" s="77">
        <v>1.2453248941679339E-2</v>
      </c>
      <c r="X52" s="126">
        <v>2502</v>
      </c>
      <c r="Y52" s="77">
        <v>0.1028317783897086</v>
      </c>
      <c r="Z52" s="126">
        <v>738</v>
      </c>
      <c r="AA52" s="77">
        <v>3.0331675640129875E-2</v>
      </c>
      <c r="AB52" s="26"/>
    </row>
    <row r="53" spans="1:28" ht="19" x14ac:dyDescent="0.25">
      <c r="A53" s="66"/>
      <c r="B53" s="26"/>
      <c r="E53" s="104" t="s">
        <v>30</v>
      </c>
      <c r="F53" s="126">
        <v>223</v>
      </c>
      <c r="G53" s="116"/>
      <c r="H53" s="116"/>
      <c r="I53" s="116"/>
      <c r="J53" s="116"/>
      <c r="K53" s="116"/>
      <c r="L53" s="116"/>
      <c r="M53" s="77">
        <v>6.2887760857304006E-2</v>
      </c>
      <c r="N53" s="126">
        <v>1236</v>
      </c>
      <c r="O53" s="77">
        <v>0.34856175972927245</v>
      </c>
      <c r="P53" s="126">
        <v>245</v>
      </c>
      <c r="Q53" s="77">
        <v>6.9091934574168082E-2</v>
      </c>
      <c r="R53" s="96">
        <f t="shared" si="3"/>
        <v>391</v>
      </c>
      <c r="S53" s="78">
        <f t="shared" si="4"/>
        <v>0.11026508742244782</v>
      </c>
      <c r="T53" s="126">
        <v>14</v>
      </c>
      <c r="U53" s="77">
        <v>3.948110547095319E-3</v>
      </c>
      <c r="V53" s="126">
        <v>94</v>
      </c>
      <c r="W53" s="77">
        <v>2.6508742244782856E-2</v>
      </c>
      <c r="X53" s="126">
        <v>1274</v>
      </c>
      <c r="Y53" s="77">
        <v>0.35927805978567401</v>
      </c>
      <c r="Z53" s="126">
        <v>69</v>
      </c>
      <c r="AA53" s="77">
        <v>1.94585448392555E-2</v>
      </c>
      <c r="AB53" s="26"/>
    </row>
    <row r="54" spans="1:28" ht="19" x14ac:dyDescent="0.25">
      <c r="A54" s="66"/>
      <c r="B54" s="26"/>
      <c r="E54" s="104" t="s">
        <v>49</v>
      </c>
      <c r="F54" s="126">
        <v>853</v>
      </c>
      <c r="G54" s="116"/>
      <c r="H54" s="116"/>
      <c r="I54" s="116"/>
      <c r="J54" s="116"/>
      <c r="K54" s="116"/>
      <c r="L54" s="116"/>
      <c r="M54" s="77">
        <v>4.4725251677852351E-2</v>
      </c>
      <c r="N54" s="126">
        <v>5190</v>
      </c>
      <c r="O54" s="77">
        <v>0.27212667785234901</v>
      </c>
      <c r="P54" s="126">
        <v>1612</v>
      </c>
      <c r="Q54" s="77">
        <v>8.4521812080536912E-2</v>
      </c>
      <c r="R54" s="96">
        <f t="shared" si="3"/>
        <v>2890</v>
      </c>
      <c r="S54" s="78">
        <f t="shared" si="4"/>
        <v>0.15153104026845637</v>
      </c>
      <c r="T54" s="126">
        <v>415</v>
      </c>
      <c r="U54" s="77">
        <v>2.175964765100671E-2</v>
      </c>
      <c r="V54" s="126">
        <v>819</v>
      </c>
      <c r="W54" s="77">
        <v>4.2942533557046983E-2</v>
      </c>
      <c r="X54" s="126">
        <v>6547</v>
      </c>
      <c r="Y54" s="77">
        <v>0.34327810402684567</v>
      </c>
      <c r="Z54" s="126">
        <v>746</v>
      </c>
      <c r="AA54" s="77">
        <v>3.9114932885906041E-2</v>
      </c>
      <c r="AB54" s="26"/>
    </row>
    <row r="55" spans="1:28" ht="19" x14ac:dyDescent="0.25">
      <c r="A55" s="64"/>
      <c r="E55" s="104" t="s">
        <v>50</v>
      </c>
      <c r="F55" s="126">
        <v>198</v>
      </c>
      <c r="G55" s="116"/>
      <c r="H55" s="116"/>
      <c r="I55" s="116"/>
      <c r="J55" s="116"/>
      <c r="K55" s="116"/>
      <c r="L55" s="116"/>
      <c r="M55" s="77">
        <v>5.1589369463262119E-2</v>
      </c>
      <c r="N55" s="126">
        <v>906</v>
      </c>
      <c r="O55" s="77">
        <v>0.23606044815007818</v>
      </c>
      <c r="P55" s="126">
        <v>114</v>
      </c>
      <c r="Q55" s="77">
        <v>2.9702970297029702E-2</v>
      </c>
      <c r="R55" s="96">
        <f t="shared" si="3"/>
        <v>719</v>
      </c>
      <c r="S55" s="78">
        <f t="shared" si="4"/>
        <v>0.18733715476810839</v>
      </c>
      <c r="T55" s="126">
        <v>12</v>
      </c>
      <c r="U55" s="77">
        <v>3.126628452318916E-3</v>
      </c>
      <c r="V55" s="126">
        <v>77</v>
      </c>
      <c r="W55" s="77">
        <v>2.0062532569046377E-2</v>
      </c>
      <c r="X55" s="126">
        <v>1618</v>
      </c>
      <c r="Y55" s="77">
        <v>0.42157373632100054</v>
      </c>
      <c r="Z55" s="126">
        <v>194</v>
      </c>
      <c r="AA55" s="77">
        <v>5.0547159979155813E-2</v>
      </c>
      <c r="AB55" s="26"/>
    </row>
    <row r="56" spans="1:28" ht="19" x14ac:dyDescent="0.25">
      <c r="A56" s="64"/>
      <c r="E56" s="104" t="s">
        <v>33</v>
      </c>
      <c r="F56" s="126">
        <v>848</v>
      </c>
      <c r="G56" s="116"/>
      <c r="H56" s="116"/>
      <c r="I56" s="116"/>
      <c r="J56" s="116"/>
      <c r="K56" s="116"/>
      <c r="L56" s="116"/>
      <c r="M56" s="77">
        <v>4.6876727473742399E-2</v>
      </c>
      <c r="N56" s="126">
        <v>13232</v>
      </c>
      <c r="O56" s="77">
        <v>0.73145384190160312</v>
      </c>
      <c r="P56" s="126">
        <v>1210</v>
      </c>
      <c r="Q56" s="77">
        <v>6.6887783305693754E-2</v>
      </c>
      <c r="R56" s="96">
        <f t="shared" si="3"/>
        <v>1348</v>
      </c>
      <c r="S56" s="78">
        <f t="shared" si="4"/>
        <v>7.4516307352128247E-2</v>
      </c>
      <c r="T56" s="126">
        <v>806</v>
      </c>
      <c r="U56" s="77">
        <v>4.455500276395799E-2</v>
      </c>
      <c r="V56" s="126">
        <v>151</v>
      </c>
      <c r="W56" s="77">
        <v>8.3471531232725271E-3</v>
      </c>
      <c r="X56" s="126">
        <v>264</v>
      </c>
      <c r="Y56" s="77">
        <v>1.4593698175787729E-2</v>
      </c>
      <c r="Z56" s="126">
        <v>231</v>
      </c>
      <c r="AA56" s="77">
        <v>1.2769485903814262E-2</v>
      </c>
      <c r="AB56" s="26"/>
    </row>
    <row r="57" spans="1:28" ht="19" x14ac:dyDescent="0.25">
      <c r="A57" s="64"/>
    </row>
    <row r="58" spans="1:28" ht="19" x14ac:dyDescent="0.25">
      <c r="A58" s="64"/>
    </row>
    <row r="59" spans="1:28" ht="19" x14ac:dyDescent="0.25">
      <c r="A59" s="67"/>
    </row>
  </sheetData>
  <sortState xmlns:xlrd2="http://schemas.microsoft.com/office/spreadsheetml/2017/richdata2" ref="AG8:AJ28">
    <sortCondition descending="1" ref="AH8:AH28"/>
  </sortState>
  <mergeCells count="20">
    <mergeCell ref="N3:N4"/>
    <mergeCell ref="A3:A4"/>
    <mergeCell ref="B3:B4"/>
    <mergeCell ref="C3:C4"/>
    <mergeCell ref="G3:L3"/>
    <mergeCell ref="M3:M4"/>
    <mergeCell ref="E3:E4"/>
    <mergeCell ref="F3:F4"/>
    <mergeCell ref="Z3:Z4"/>
    <mergeCell ref="Q3:Q4"/>
    <mergeCell ref="R3:R4"/>
    <mergeCell ref="S3:S4"/>
    <mergeCell ref="T3:T4"/>
    <mergeCell ref="U3:U4"/>
    <mergeCell ref="V3:V4"/>
    <mergeCell ref="O3:O4"/>
    <mergeCell ref="P3:P4"/>
    <mergeCell ref="W3:W4"/>
    <mergeCell ref="X3:X4"/>
    <mergeCell ref="Y3:Y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A9D08E"/>
  </sheetPr>
  <dimension ref="A1:I33"/>
  <sheetViews>
    <sheetView workbookViewId="0">
      <pane xSplit="1" topLeftCell="C1" activePane="topRight" state="frozen"/>
      <selection pane="topRight" activeCell="A3" sqref="A3:H28"/>
    </sheetView>
  </sheetViews>
  <sheetFormatPr baseColWidth="10" defaultColWidth="8.83203125" defaultRowHeight="15" x14ac:dyDescent="0.2"/>
  <cols>
    <col min="1" max="1" width="26" customWidth="1"/>
    <col min="2" max="2" width="12.5" hidden="1" customWidth="1"/>
    <col min="3" max="3" width="14" bestFit="1" customWidth="1"/>
    <col min="4" max="4" width="6.83203125" customWidth="1"/>
    <col min="5" max="5" width="15" bestFit="1" customWidth="1"/>
    <col min="6" max="6" width="7.1640625" customWidth="1"/>
    <col min="7" max="7" width="13.33203125" bestFit="1" customWidth="1"/>
    <col min="9" max="9" width="10.1640625" customWidth="1"/>
    <col min="26" max="26" width="12.83203125" bestFit="1" customWidth="1"/>
    <col min="27" max="27" width="14" bestFit="1" customWidth="1"/>
  </cols>
  <sheetData>
    <row r="1" spans="1:9" ht="21" x14ac:dyDescent="0.25">
      <c r="A1" s="11" t="s">
        <v>139</v>
      </c>
    </row>
    <row r="3" spans="1:9" ht="30.75" customHeight="1" x14ac:dyDescent="0.2">
      <c r="A3" s="117" t="s">
        <v>139</v>
      </c>
      <c r="B3" s="117" t="s">
        <v>38</v>
      </c>
      <c r="C3" s="117" t="s">
        <v>140</v>
      </c>
      <c r="D3" s="118" t="s">
        <v>3</v>
      </c>
      <c r="E3" s="117" t="s">
        <v>141</v>
      </c>
      <c r="F3" s="118" t="s">
        <v>3</v>
      </c>
      <c r="G3" s="117" t="s">
        <v>142</v>
      </c>
      <c r="H3" s="118" t="s">
        <v>3</v>
      </c>
    </row>
    <row r="4" spans="1:9" x14ac:dyDescent="0.2">
      <c r="A4" s="116" t="s">
        <v>44</v>
      </c>
      <c r="B4" s="96">
        <v>144837205</v>
      </c>
      <c r="C4" s="96">
        <v>89030154</v>
      </c>
      <c r="D4" s="77">
        <v>0.61469119070614486</v>
      </c>
      <c r="E4" s="96">
        <v>42265954</v>
      </c>
      <c r="F4" s="77">
        <v>0.29181696788473654</v>
      </c>
      <c r="G4" s="96">
        <v>13541097</v>
      </c>
      <c r="H4" s="77">
        <v>9.3491841409118606E-2</v>
      </c>
    </row>
    <row r="5" spans="1:9" x14ac:dyDescent="0.2">
      <c r="A5" s="116" t="s">
        <v>10</v>
      </c>
      <c r="B5" s="92">
        <v>2383511</v>
      </c>
      <c r="C5" s="92">
        <v>1286306</v>
      </c>
      <c r="D5" s="77">
        <v>0.53966858134911067</v>
      </c>
      <c r="E5" s="92">
        <v>802793</v>
      </c>
      <c r="F5" s="77">
        <v>0.33681111603848274</v>
      </c>
      <c r="G5" s="92">
        <v>294412</v>
      </c>
      <c r="H5" s="77">
        <v>0.12352030261240665</v>
      </c>
      <c r="I5" s="97"/>
    </row>
    <row r="6" spans="1:9" x14ac:dyDescent="0.2">
      <c r="A6" s="85" t="s">
        <v>11</v>
      </c>
      <c r="B6" s="96">
        <v>361926</v>
      </c>
      <c r="C6" s="96">
        <v>165673</v>
      </c>
      <c r="D6" s="77">
        <v>0.45775379497466334</v>
      </c>
      <c r="E6" s="96">
        <v>153556</v>
      </c>
      <c r="F6" s="77">
        <v>0.42427457546570291</v>
      </c>
      <c r="G6" s="96">
        <v>42697</v>
      </c>
      <c r="H6" s="77">
        <v>0.11797162955963374</v>
      </c>
      <c r="I6" s="97"/>
    </row>
    <row r="7" spans="1:9" x14ac:dyDescent="0.2">
      <c r="A7" s="104" t="s">
        <v>12</v>
      </c>
      <c r="B7" s="92">
        <v>10104</v>
      </c>
      <c r="C7" s="96">
        <v>4358</v>
      </c>
      <c r="D7" s="77">
        <v>0.4313143309580364</v>
      </c>
      <c r="E7" s="96">
        <v>4667</v>
      </c>
      <c r="F7" s="77">
        <v>0.46189627870150435</v>
      </c>
      <c r="G7" s="96">
        <v>1079</v>
      </c>
      <c r="H7" s="77">
        <v>0.10678939034045923</v>
      </c>
      <c r="I7" s="97"/>
    </row>
    <row r="8" spans="1:9" x14ac:dyDescent="0.2">
      <c r="A8" s="104" t="s">
        <v>45</v>
      </c>
      <c r="B8" s="92">
        <v>10575</v>
      </c>
      <c r="C8" s="96">
        <v>6858</v>
      </c>
      <c r="D8" s="77">
        <v>0.64851063829787237</v>
      </c>
      <c r="E8" s="96">
        <v>3281</v>
      </c>
      <c r="F8" s="77">
        <v>0.31026004728132389</v>
      </c>
      <c r="G8" s="96">
        <v>436</v>
      </c>
      <c r="H8" s="77">
        <v>4.1229314420803784E-2</v>
      </c>
      <c r="I8" s="97"/>
    </row>
    <row r="9" spans="1:9" x14ac:dyDescent="0.2">
      <c r="A9" s="104" t="s">
        <v>46</v>
      </c>
      <c r="B9" s="92">
        <v>6331</v>
      </c>
      <c r="C9" s="96">
        <v>4466</v>
      </c>
      <c r="D9" s="77">
        <v>0.70541778549992107</v>
      </c>
      <c r="E9" s="96">
        <v>1640</v>
      </c>
      <c r="F9" s="77">
        <v>0.25904280524403728</v>
      </c>
      <c r="G9" s="96">
        <v>225</v>
      </c>
      <c r="H9" s="77">
        <v>3.5539409256041703E-2</v>
      </c>
      <c r="I9" s="97"/>
    </row>
    <row r="10" spans="1:9" x14ac:dyDescent="0.2">
      <c r="A10" s="104" t="s">
        <v>15</v>
      </c>
      <c r="B10" s="92">
        <v>33976</v>
      </c>
      <c r="C10" s="96">
        <v>13609</v>
      </c>
      <c r="D10" s="77">
        <v>0.40054744525547448</v>
      </c>
      <c r="E10" s="96">
        <v>16558</v>
      </c>
      <c r="F10" s="77">
        <v>0.48734400753473039</v>
      </c>
      <c r="G10" s="96">
        <v>3809</v>
      </c>
      <c r="H10" s="77">
        <v>0.11210854720979516</v>
      </c>
      <c r="I10" s="97"/>
    </row>
    <row r="11" spans="1:9" x14ac:dyDescent="0.2">
      <c r="A11" s="104" t="s">
        <v>16</v>
      </c>
      <c r="B11" s="92">
        <v>11224</v>
      </c>
      <c r="C11" s="96">
        <v>4909</v>
      </c>
      <c r="D11" s="77">
        <v>0.43736635780470423</v>
      </c>
      <c r="E11" s="96">
        <v>5537</v>
      </c>
      <c r="F11" s="77">
        <v>0.49331789023521028</v>
      </c>
      <c r="G11" s="96">
        <v>778</v>
      </c>
      <c r="H11" s="77">
        <v>6.9315751960085534E-2</v>
      </c>
      <c r="I11" s="97"/>
    </row>
    <row r="12" spans="1:9" x14ac:dyDescent="0.2">
      <c r="A12" s="104" t="s">
        <v>17</v>
      </c>
      <c r="B12" s="92">
        <v>62024</v>
      </c>
      <c r="C12" s="96">
        <v>23478</v>
      </c>
      <c r="D12" s="77">
        <v>0.3785308912678963</v>
      </c>
      <c r="E12" s="96">
        <v>28068</v>
      </c>
      <c r="F12" s="77">
        <v>0.45253450277312007</v>
      </c>
      <c r="G12" s="96">
        <v>10478</v>
      </c>
      <c r="H12" s="77">
        <v>0.16893460595898363</v>
      </c>
      <c r="I12" s="97"/>
    </row>
    <row r="13" spans="1:9" x14ac:dyDescent="0.2">
      <c r="A13" s="104" t="s">
        <v>18</v>
      </c>
      <c r="B13" s="92">
        <v>8805</v>
      </c>
      <c r="C13" s="96">
        <v>6528</v>
      </c>
      <c r="D13" s="77">
        <v>0.74139693356047698</v>
      </c>
      <c r="E13" s="96">
        <v>1878</v>
      </c>
      <c r="F13" s="77">
        <v>0.21328790459965929</v>
      </c>
      <c r="G13" s="96">
        <v>399</v>
      </c>
      <c r="H13" s="77">
        <v>4.5315161839863713E-2</v>
      </c>
      <c r="I13" s="97"/>
    </row>
    <row r="14" spans="1:9" x14ac:dyDescent="0.2">
      <c r="A14" s="104" t="s">
        <v>19</v>
      </c>
      <c r="B14" s="92">
        <v>26547</v>
      </c>
      <c r="C14" s="96">
        <v>10247</v>
      </c>
      <c r="D14" s="77">
        <v>0.38599465099634611</v>
      </c>
      <c r="E14" s="96">
        <v>13024</v>
      </c>
      <c r="F14" s="77">
        <v>0.49060157456586434</v>
      </c>
      <c r="G14" s="96">
        <v>3276</v>
      </c>
      <c r="H14" s="77">
        <v>0.12340377443778958</v>
      </c>
      <c r="I14" s="97"/>
    </row>
    <row r="15" spans="1:9" x14ac:dyDescent="0.2">
      <c r="A15" s="104" t="s">
        <v>20</v>
      </c>
      <c r="B15" s="92">
        <v>15977</v>
      </c>
      <c r="C15" s="96">
        <v>10598</v>
      </c>
      <c r="D15" s="77">
        <v>0.6633285347687301</v>
      </c>
      <c r="E15" s="96">
        <v>4489</v>
      </c>
      <c r="F15" s="77">
        <v>0.28096638918445266</v>
      </c>
      <c r="G15" s="96">
        <v>890</v>
      </c>
      <c r="H15" s="77">
        <v>5.5705076046817299E-2</v>
      </c>
      <c r="I15" s="97"/>
    </row>
    <row r="16" spans="1:9" x14ac:dyDescent="0.2">
      <c r="A16" s="104" t="s">
        <v>21</v>
      </c>
      <c r="B16" s="92">
        <v>19399</v>
      </c>
      <c r="C16" s="96">
        <v>6272</v>
      </c>
      <c r="D16" s="77">
        <v>0.32331563482653747</v>
      </c>
      <c r="E16" s="96">
        <v>9194</v>
      </c>
      <c r="F16" s="77">
        <v>0.47394195577091602</v>
      </c>
      <c r="G16" s="96">
        <v>3933</v>
      </c>
      <c r="H16" s="77">
        <v>0.20274240940254654</v>
      </c>
      <c r="I16" s="97"/>
    </row>
    <row r="17" spans="1:9" x14ac:dyDescent="0.2">
      <c r="A17" s="104" t="s">
        <v>22</v>
      </c>
      <c r="B17" s="92">
        <v>22874</v>
      </c>
      <c r="C17" s="96">
        <v>9460</v>
      </c>
      <c r="D17" s="77">
        <v>0.41356999213080353</v>
      </c>
      <c r="E17" s="96">
        <v>11287</v>
      </c>
      <c r="F17" s="77">
        <v>0.49344233627699574</v>
      </c>
      <c r="G17" s="96">
        <v>2127</v>
      </c>
      <c r="H17" s="77">
        <v>9.2987671592200755E-2</v>
      </c>
      <c r="I17" s="97"/>
    </row>
    <row r="18" spans="1:9" x14ac:dyDescent="0.2">
      <c r="A18" s="104" t="s">
        <v>23</v>
      </c>
      <c r="B18" s="92">
        <v>2233</v>
      </c>
      <c r="C18" s="96">
        <v>1872</v>
      </c>
      <c r="D18" s="77">
        <v>0.83833407971339002</v>
      </c>
      <c r="E18" s="96">
        <v>283</v>
      </c>
      <c r="F18" s="77">
        <v>0.12673533363188536</v>
      </c>
      <c r="G18" s="96">
        <v>78</v>
      </c>
      <c r="H18" s="77">
        <v>3.4930586654724587E-2</v>
      </c>
      <c r="I18" s="97"/>
    </row>
    <row r="19" spans="1:9" x14ac:dyDescent="0.2">
      <c r="A19" s="104" t="s">
        <v>24</v>
      </c>
      <c r="B19" s="92">
        <v>12396</v>
      </c>
      <c r="C19" s="96">
        <v>4027</v>
      </c>
      <c r="D19" s="77">
        <v>0.32486285898676992</v>
      </c>
      <c r="E19" s="96">
        <v>5084</v>
      </c>
      <c r="F19" s="77">
        <v>0.41013230074217488</v>
      </c>
      <c r="G19" s="96">
        <v>3285</v>
      </c>
      <c r="H19" s="77">
        <v>0.2650048402710552</v>
      </c>
      <c r="I19" s="97"/>
    </row>
    <row r="20" spans="1:9" x14ac:dyDescent="0.2">
      <c r="A20" s="104" t="s">
        <v>47</v>
      </c>
      <c r="B20" s="92">
        <v>7916</v>
      </c>
      <c r="C20" s="96">
        <v>4152</v>
      </c>
      <c r="D20" s="77">
        <v>0.52450732693279434</v>
      </c>
      <c r="E20" s="96">
        <v>3014</v>
      </c>
      <c r="F20" s="77">
        <v>0.38074785245073267</v>
      </c>
      <c r="G20" s="96">
        <v>750</v>
      </c>
      <c r="H20" s="77">
        <v>9.4744820616472963E-2</v>
      </c>
      <c r="I20" s="97"/>
    </row>
    <row r="21" spans="1:9" x14ac:dyDescent="0.2">
      <c r="A21" s="104" t="s">
        <v>48</v>
      </c>
      <c r="B21" s="92">
        <v>6555</v>
      </c>
      <c r="C21" s="96">
        <v>4237</v>
      </c>
      <c r="D21" s="77">
        <v>0.6463768115942029</v>
      </c>
      <c r="E21" s="96">
        <v>1917</v>
      </c>
      <c r="F21" s="77">
        <v>0.29244851258581234</v>
      </c>
      <c r="G21" s="96">
        <v>401</v>
      </c>
      <c r="H21" s="77">
        <v>6.1174675819984745E-2</v>
      </c>
      <c r="I21" s="97"/>
    </row>
    <row r="22" spans="1:9" x14ac:dyDescent="0.2">
      <c r="A22" s="104" t="s">
        <v>27</v>
      </c>
      <c r="B22" s="92">
        <v>16215</v>
      </c>
      <c r="C22" s="96">
        <v>5638</v>
      </c>
      <c r="D22" s="77">
        <v>0.3477027443724946</v>
      </c>
      <c r="E22" s="96">
        <v>8101</v>
      </c>
      <c r="F22" s="77">
        <v>0.4995991366019118</v>
      </c>
      <c r="G22" s="96">
        <v>2476</v>
      </c>
      <c r="H22" s="77">
        <v>0.15269811902559358</v>
      </c>
      <c r="I22" s="97"/>
    </row>
    <row r="23" spans="1:9" x14ac:dyDescent="0.2">
      <c r="A23" s="104" t="s">
        <v>28</v>
      </c>
      <c r="B23" s="92">
        <v>22652</v>
      </c>
      <c r="C23" s="96">
        <v>9292</v>
      </c>
      <c r="D23" s="77">
        <v>0.41020660427335337</v>
      </c>
      <c r="E23" s="96">
        <v>10411</v>
      </c>
      <c r="F23" s="77">
        <v>0.45960621578668548</v>
      </c>
      <c r="G23" s="96">
        <v>2949</v>
      </c>
      <c r="H23" s="77">
        <v>0.13018717993996115</v>
      </c>
      <c r="I23" s="97"/>
    </row>
    <row r="24" spans="1:9" x14ac:dyDescent="0.2">
      <c r="A24" s="104" t="s">
        <v>29</v>
      </c>
      <c r="B24" s="92">
        <v>23699</v>
      </c>
      <c r="C24" s="96">
        <v>12338</v>
      </c>
      <c r="D24" s="77">
        <v>0.52061268407949701</v>
      </c>
      <c r="E24" s="96">
        <v>10256</v>
      </c>
      <c r="F24" s="77">
        <v>0.43276087598632856</v>
      </c>
      <c r="G24" s="96">
        <v>1105</v>
      </c>
      <c r="H24" s="77">
        <v>4.6626439934174438E-2</v>
      </c>
      <c r="I24" s="97"/>
    </row>
    <row r="25" spans="1:9" x14ac:dyDescent="0.2">
      <c r="A25" s="104" t="s">
        <v>30</v>
      </c>
      <c r="B25" s="92">
        <v>3323</v>
      </c>
      <c r="C25" s="96">
        <v>2157</v>
      </c>
      <c r="D25" s="77">
        <v>0.64911224796870293</v>
      </c>
      <c r="E25" s="96">
        <v>921</v>
      </c>
      <c r="F25" s="77">
        <v>0.27715919349984952</v>
      </c>
      <c r="G25" s="96">
        <v>245</v>
      </c>
      <c r="H25" s="77">
        <v>7.3728558531447483E-2</v>
      </c>
      <c r="I25" s="97"/>
    </row>
    <row r="26" spans="1:9" x14ac:dyDescent="0.2">
      <c r="A26" s="104" t="s">
        <v>49</v>
      </c>
      <c r="B26" s="92">
        <v>18219</v>
      </c>
      <c r="C26" s="96">
        <v>11187</v>
      </c>
      <c r="D26" s="77">
        <v>0.61402931006092543</v>
      </c>
      <c r="E26" s="96">
        <v>5657</v>
      </c>
      <c r="F26" s="77">
        <v>0.31050002744387728</v>
      </c>
      <c r="G26" s="96">
        <v>1375</v>
      </c>
      <c r="H26" s="77">
        <v>7.5470662495197322E-2</v>
      </c>
      <c r="I26" s="97"/>
    </row>
    <row r="27" spans="1:9" x14ac:dyDescent="0.2">
      <c r="A27" s="104" t="s">
        <v>50</v>
      </c>
      <c r="B27" s="92">
        <v>3640</v>
      </c>
      <c r="C27" s="96">
        <v>2518</v>
      </c>
      <c r="D27" s="77">
        <v>0.69175824175824174</v>
      </c>
      <c r="E27" s="96">
        <v>1023</v>
      </c>
      <c r="F27" s="77">
        <v>0.28104395604395604</v>
      </c>
      <c r="G27" s="96">
        <v>99</v>
      </c>
      <c r="H27" s="77">
        <v>2.7197802197802198E-2</v>
      </c>
      <c r="I27" s="97"/>
    </row>
    <row r="28" spans="1:9" x14ac:dyDescent="0.2">
      <c r="A28" s="104" t="s">
        <v>33</v>
      </c>
      <c r="B28" s="92">
        <v>17242</v>
      </c>
      <c r="C28" s="96">
        <v>7472</v>
      </c>
      <c r="D28" s="77">
        <v>0.43336039902563506</v>
      </c>
      <c r="E28" s="96">
        <v>7266</v>
      </c>
      <c r="F28" s="77">
        <v>0.42141282913815103</v>
      </c>
      <c r="G28" s="96">
        <v>2504</v>
      </c>
      <c r="H28" s="77">
        <v>0.14522677183621391</v>
      </c>
      <c r="I28" s="97"/>
    </row>
    <row r="30" spans="1:9" x14ac:dyDescent="0.2">
      <c r="A30" t="s">
        <v>34</v>
      </c>
    </row>
    <row r="31" spans="1:9" x14ac:dyDescent="0.2">
      <c r="A31" t="s">
        <v>143</v>
      </c>
    </row>
    <row r="32" spans="1:9" x14ac:dyDescent="0.2">
      <c r="A32" t="s">
        <v>144</v>
      </c>
    </row>
    <row r="33" spans="1:1" x14ac:dyDescent="0.2">
      <c r="A33" t="s">
        <v>145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A9D08E"/>
  </sheetPr>
  <dimension ref="A1:F34"/>
  <sheetViews>
    <sheetView workbookViewId="0">
      <pane xSplit="1" topLeftCell="C1" activePane="topRight" state="frozen"/>
      <selection pane="topRight" activeCell="A3" sqref="A3:F29"/>
    </sheetView>
  </sheetViews>
  <sheetFormatPr baseColWidth="10" defaultColWidth="8.83203125" defaultRowHeight="15" x14ac:dyDescent="0.2"/>
  <cols>
    <col min="1" max="1" width="39.1640625" customWidth="1"/>
    <col min="2" max="2" width="11.1640625" hidden="1" customWidth="1"/>
    <col min="3" max="3" width="18" customWidth="1"/>
    <col min="4" max="4" width="11.5" customWidth="1"/>
    <col min="5" max="5" width="16.33203125" customWidth="1"/>
    <col min="6" max="6" width="11.83203125" customWidth="1"/>
  </cols>
  <sheetData>
    <row r="1" spans="1:6" ht="21" x14ac:dyDescent="0.25">
      <c r="A1" s="11" t="s">
        <v>146</v>
      </c>
    </row>
    <row r="3" spans="1:6" x14ac:dyDescent="0.2">
      <c r="A3" s="131" t="s">
        <v>146</v>
      </c>
      <c r="B3" s="131" t="s">
        <v>147</v>
      </c>
      <c r="C3" s="140" t="s">
        <v>148</v>
      </c>
      <c r="D3" s="141"/>
      <c r="E3" s="140" t="s">
        <v>149</v>
      </c>
      <c r="F3" s="141"/>
    </row>
    <row r="4" spans="1:6" ht="32" x14ac:dyDescent="0.2">
      <c r="A4" s="132"/>
      <c r="B4" s="132"/>
      <c r="C4" s="120" t="s">
        <v>148</v>
      </c>
      <c r="D4" s="15" t="s">
        <v>150</v>
      </c>
      <c r="E4" s="120" t="s">
        <v>149</v>
      </c>
      <c r="F4" s="15" t="s">
        <v>151</v>
      </c>
    </row>
    <row r="5" spans="1:6" x14ac:dyDescent="0.2">
      <c r="A5" s="16" t="s">
        <v>44</v>
      </c>
      <c r="B5" s="16">
        <v>152735781</v>
      </c>
      <c r="C5" s="16">
        <v>147073507</v>
      </c>
      <c r="D5" s="18">
        <v>0.96292765216553944</v>
      </c>
      <c r="E5" s="16">
        <v>110334054</v>
      </c>
      <c r="F5" s="18">
        <v>0.75019666186378486</v>
      </c>
    </row>
    <row r="6" spans="1:6" x14ac:dyDescent="0.2">
      <c r="A6" s="16" t="s">
        <v>10</v>
      </c>
      <c r="B6" s="16">
        <v>3545037</v>
      </c>
      <c r="C6" s="16">
        <v>3406602</v>
      </c>
      <c r="D6" s="18">
        <v>0.960949631837411</v>
      </c>
      <c r="E6" s="16">
        <v>2313581</v>
      </c>
      <c r="F6" s="18">
        <v>0.67914625776653681</v>
      </c>
    </row>
    <row r="7" spans="1:6" x14ac:dyDescent="0.2">
      <c r="A7" s="16" t="s">
        <v>11</v>
      </c>
      <c r="B7" s="16">
        <v>374671</v>
      </c>
      <c r="C7" s="16">
        <v>370091</v>
      </c>
      <c r="D7" s="18">
        <v>0.98777594209319641</v>
      </c>
      <c r="E7" s="16">
        <v>265458</v>
      </c>
      <c r="F7" s="18">
        <v>0.71727764252575721</v>
      </c>
    </row>
    <row r="8" spans="1:6" x14ac:dyDescent="0.2">
      <c r="A8" s="19" t="s">
        <v>12</v>
      </c>
      <c r="B8" s="16">
        <v>10479</v>
      </c>
      <c r="C8" s="16">
        <v>10317</v>
      </c>
      <c r="D8" s="18">
        <v>0.98454050959060979</v>
      </c>
      <c r="E8" s="16">
        <v>6765</v>
      </c>
      <c r="F8" s="18">
        <v>0.65571387031113693</v>
      </c>
    </row>
    <row r="9" spans="1:6" x14ac:dyDescent="0.2">
      <c r="A9" s="19" t="s">
        <v>45</v>
      </c>
      <c r="B9" s="16">
        <v>10996</v>
      </c>
      <c r="C9" s="16">
        <v>10649</v>
      </c>
      <c r="D9" s="18">
        <v>0.9684430702073481</v>
      </c>
      <c r="E9" s="16">
        <v>7834</v>
      </c>
      <c r="F9" s="18">
        <v>0.73565593013428487</v>
      </c>
    </row>
    <row r="10" spans="1:6" x14ac:dyDescent="0.2">
      <c r="A10" s="19" t="s">
        <v>46</v>
      </c>
      <c r="B10" s="16">
        <v>6797</v>
      </c>
      <c r="C10" s="16">
        <v>6608</v>
      </c>
      <c r="D10" s="18">
        <v>0.97219361483007205</v>
      </c>
      <c r="E10" s="16">
        <v>5049</v>
      </c>
      <c r="F10" s="18">
        <v>0.76407384987893467</v>
      </c>
    </row>
    <row r="11" spans="1:6" x14ac:dyDescent="0.2">
      <c r="A11" s="19" t="s">
        <v>15</v>
      </c>
      <c r="B11" s="16">
        <v>35529</v>
      </c>
      <c r="C11" s="16">
        <v>35180</v>
      </c>
      <c r="D11" s="18">
        <v>0.99017703847561145</v>
      </c>
      <c r="E11" s="16">
        <v>20068</v>
      </c>
      <c r="F11" s="18">
        <v>0.57043774872086417</v>
      </c>
    </row>
    <row r="12" spans="1:6" x14ac:dyDescent="0.2">
      <c r="A12" s="19" t="s">
        <v>16</v>
      </c>
      <c r="B12" s="16">
        <v>11776</v>
      </c>
      <c r="C12" s="16">
        <v>11509</v>
      </c>
      <c r="D12" s="18">
        <v>0.97732676630434778</v>
      </c>
      <c r="E12" s="16">
        <v>7729</v>
      </c>
      <c r="F12" s="18">
        <v>0.67156138674081156</v>
      </c>
    </row>
    <row r="13" spans="1:6" x14ac:dyDescent="0.2">
      <c r="A13" s="19" t="s">
        <v>17</v>
      </c>
      <c r="B13" s="16">
        <v>63303</v>
      </c>
      <c r="C13" s="16">
        <v>62730</v>
      </c>
      <c r="D13" s="18">
        <v>0.99094829628927539</v>
      </c>
      <c r="E13" s="16">
        <v>46852</v>
      </c>
      <c r="F13" s="18">
        <v>0.74688346883468837</v>
      </c>
    </row>
    <row r="14" spans="1:6" x14ac:dyDescent="0.2">
      <c r="A14" s="19" t="s">
        <v>18</v>
      </c>
      <c r="B14" s="16">
        <v>9392</v>
      </c>
      <c r="C14" s="16">
        <v>9136</v>
      </c>
      <c r="D14" s="18">
        <v>0.97274275979557068</v>
      </c>
      <c r="E14" s="16">
        <v>7288</v>
      </c>
      <c r="F14" s="18">
        <v>0.79772329246935203</v>
      </c>
    </row>
    <row r="15" spans="1:6" x14ac:dyDescent="0.2">
      <c r="A15" s="19" t="s">
        <v>19</v>
      </c>
      <c r="B15" s="16">
        <v>27230</v>
      </c>
      <c r="C15" s="16">
        <v>27072</v>
      </c>
      <c r="D15" s="18">
        <v>0.99419757620271754</v>
      </c>
      <c r="E15" s="16">
        <v>20808</v>
      </c>
      <c r="F15" s="18">
        <v>0.7686170212765957</v>
      </c>
    </row>
    <row r="16" spans="1:6" x14ac:dyDescent="0.2">
      <c r="A16" s="19" t="s">
        <v>20</v>
      </c>
      <c r="B16" s="16">
        <v>16570</v>
      </c>
      <c r="C16" s="16">
        <v>16182</v>
      </c>
      <c r="D16" s="18">
        <v>0.97658418829209415</v>
      </c>
      <c r="E16" s="16">
        <v>12239</v>
      </c>
      <c r="F16" s="18">
        <v>0.75633419849215178</v>
      </c>
    </row>
    <row r="17" spans="1:6" x14ac:dyDescent="0.2">
      <c r="A17" s="19" t="s">
        <v>21</v>
      </c>
      <c r="B17" s="16">
        <v>19766</v>
      </c>
      <c r="C17" s="16">
        <v>19531</v>
      </c>
      <c r="D17" s="18">
        <v>0.98811089750075887</v>
      </c>
      <c r="E17" s="16">
        <v>13002</v>
      </c>
      <c r="F17" s="18">
        <v>0.66571092109979013</v>
      </c>
    </row>
    <row r="18" spans="1:6" x14ac:dyDescent="0.2">
      <c r="A18" s="19" t="s">
        <v>22</v>
      </c>
      <c r="B18" s="16">
        <v>24058</v>
      </c>
      <c r="C18" s="16">
        <v>23837</v>
      </c>
      <c r="D18" s="18">
        <v>0.99081386648931746</v>
      </c>
      <c r="E18" s="16">
        <v>17655</v>
      </c>
      <c r="F18" s="18">
        <v>0.7406552838024919</v>
      </c>
    </row>
    <row r="19" spans="1:6" x14ac:dyDescent="0.2">
      <c r="A19" s="19" t="s">
        <v>23</v>
      </c>
      <c r="B19" s="16">
        <v>2349</v>
      </c>
      <c r="C19" s="16">
        <v>2334</v>
      </c>
      <c r="D19" s="18">
        <v>0.99361430395913153</v>
      </c>
      <c r="E19" s="16">
        <v>2013</v>
      </c>
      <c r="F19" s="18">
        <v>0.86246786632390748</v>
      </c>
    </row>
    <row r="20" spans="1:6" x14ac:dyDescent="0.2">
      <c r="A20" s="19" t="s">
        <v>24</v>
      </c>
      <c r="B20" s="16">
        <v>12562</v>
      </c>
      <c r="C20" s="16">
        <v>12522</v>
      </c>
      <c r="D20" s="18">
        <v>0.99681579366342943</v>
      </c>
      <c r="E20" s="16">
        <v>9306</v>
      </c>
      <c r="F20" s="18">
        <v>0.74317201724964066</v>
      </c>
    </row>
    <row r="21" spans="1:6" x14ac:dyDescent="0.2">
      <c r="A21" s="19" t="s">
        <v>47</v>
      </c>
      <c r="B21" s="16">
        <v>8145</v>
      </c>
      <c r="C21" s="16">
        <v>8063</v>
      </c>
      <c r="D21" s="18">
        <v>0.98993247391037442</v>
      </c>
      <c r="E21" s="16">
        <v>6333</v>
      </c>
      <c r="F21" s="18">
        <v>0.78543966265657938</v>
      </c>
    </row>
    <row r="22" spans="1:6" x14ac:dyDescent="0.2">
      <c r="A22" s="19" t="s">
        <v>48</v>
      </c>
      <c r="B22" s="16">
        <v>6910</v>
      </c>
      <c r="C22" s="16">
        <v>6814</v>
      </c>
      <c r="D22" s="18">
        <v>0.98610709117221418</v>
      </c>
      <c r="E22" s="16">
        <v>5218</v>
      </c>
      <c r="F22" s="18">
        <v>0.76577634282359852</v>
      </c>
    </row>
    <row r="23" spans="1:6" x14ac:dyDescent="0.2">
      <c r="A23" s="19" t="s">
        <v>27</v>
      </c>
      <c r="B23" s="16">
        <v>16843</v>
      </c>
      <c r="C23" s="16">
        <v>16672</v>
      </c>
      <c r="D23" s="18">
        <v>0.98984741435611234</v>
      </c>
      <c r="E23" s="16">
        <v>10996</v>
      </c>
      <c r="F23" s="18">
        <v>0.65954894433781186</v>
      </c>
    </row>
    <row r="24" spans="1:6" x14ac:dyDescent="0.2">
      <c r="A24" s="19" t="s">
        <v>28</v>
      </c>
      <c r="B24" s="16">
        <v>22934</v>
      </c>
      <c r="C24" s="16">
        <v>22799</v>
      </c>
      <c r="D24" s="18">
        <v>0.99411354321095313</v>
      </c>
      <c r="E24" s="16">
        <v>18126</v>
      </c>
      <c r="F24" s="18">
        <v>0.79503486995043637</v>
      </c>
    </row>
    <row r="25" spans="1:6" x14ac:dyDescent="0.2">
      <c r="A25" s="19" t="s">
        <v>29</v>
      </c>
      <c r="B25" s="16">
        <v>24331</v>
      </c>
      <c r="C25" s="16">
        <v>24127</v>
      </c>
      <c r="D25" s="18">
        <v>0.99161563437589906</v>
      </c>
      <c r="E25" s="16">
        <v>17441</v>
      </c>
      <c r="F25" s="18">
        <v>0.72288307705060717</v>
      </c>
    </row>
    <row r="26" spans="1:6" x14ac:dyDescent="0.2">
      <c r="A26" s="19" t="s">
        <v>30</v>
      </c>
      <c r="B26" s="16">
        <v>3546</v>
      </c>
      <c r="C26" s="16">
        <v>3512</v>
      </c>
      <c r="D26" s="18">
        <v>0.99041173152848283</v>
      </c>
      <c r="E26" s="16">
        <v>2705</v>
      </c>
      <c r="F26" s="18">
        <v>0.77021640091116172</v>
      </c>
    </row>
    <row r="27" spans="1:6" x14ac:dyDescent="0.2">
      <c r="A27" s="19" t="s">
        <v>49</v>
      </c>
      <c r="B27" s="16">
        <v>19072</v>
      </c>
      <c r="C27" s="16">
        <v>18649</v>
      </c>
      <c r="D27" s="18">
        <v>0.97782088926174493</v>
      </c>
      <c r="E27" s="16">
        <v>14231</v>
      </c>
      <c r="F27" s="18">
        <v>0.76309721700895494</v>
      </c>
    </row>
    <row r="28" spans="1:6" x14ac:dyDescent="0.2">
      <c r="A28" s="19" t="s">
        <v>50</v>
      </c>
      <c r="B28" s="16">
        <v>3838</v>
      </c>
      <c r="C28" s="16">
        <v>3752</v>
      </c>
      <c r="D28" s="18">
        <v>0.97759249609171439</v>
      </c>
      <c r="E28" s="16">
        <v>2666</v>
      </c>
      <c r="F28" s="18">
        <v>0.71055437100213215</v>
      </c>
    </row>
    <row r="29" spans="1:6" x14ac:dyDescent="0.2">
      <c r="A29" s="19" t="s">
        <v>33</v>
      </c>
      <c r="B29" s="16">
        <v>18090</v>
      </c>
      <c r="C29" s="16">
        <v>17941</v>
      </c>
      <c r="D29" s="18">
        <v>0.99176340519624107</v>
      </c>
      <c r="E29" s="16">
        <v>11032</v>
      </c>
      <c r="F29" s="18">
        <v>0.61490440889582521</v>
      </c>
    </row>
    <row r="31" spans="1:6" x14ac:dyDescent="0.2">
      <c r="A31" t="s">
        <v>34</v>
      </c>
    </row>
    <row r="32" spans="1:6" x14ac:dyDescent="0.2">
      <c r="A32" t="s">
        <v>152</v>
      </c>
    </row>
    <row r="33" spans="1:1" x14ac:dyDescent="0.2">
      <c r="A33" t="s">
        <v>153</v>
      </c>
    </row>
    <row r="34" spans="1:1" x14ac:dyDescent="0.2">
      <c r="A34" t="s">
        <v>138</v>
      </c>
    </row>
  </sheetData>
  <mergeCells count="4">
    <mergeCell ref="A3:A4"/>
    <mergeCell ref="B3:B4"/>
    <mergeCell ref="C3:D3"/>
    <mergeCell ref="E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A9D08E"/>
  </sheetPr>
  <dimension ref="A1:F35"/>
  <sheetViews>
    <sheetView zoomScale="90" zoomScaleNormal="90" workbookViewId="0">
      <pane xSplit="1" topLeftCell="B1" activePane="topRight" state="frozen"/>
      <selection pane="topRight" sqref="A1:D23"/>
    </sheetView>
  </sheetViews>
  <sheetFormatPr baseColWidth="10" defaultColWidth="8.83203125" defaultRowHeight="15" x14ac:dyDescent="0.2"/>
  <cols>
    <col min="1" max="1" width="18" customWidth="1"/>
    <col min="2" max="2" width="17" customWidth="1"/>
    <col min="3" max="3" width="38.5" customWidth="1"/>
    <col min="4" max="4" width="14.83203125" bestFit="1" customWidth="1"/>
    <col min="5" max="5" width="12.1640625" bestFit="1" customWidth="1"/>
    <col min="6" max="6" width="14" bestFit="1" customWidth="1"/>
    <col min="7" max="23" width="12.5" customWidth="1"/>
    <col min="24" max="32" width="10.5" bestFit="1" customWidth="1"/>
  </cols>
  <sheetData>
    <row r="1" spans="1:6" ht="32" x14ac:dyDescent="0.2">
      <c r="A1" s="14" t="s">
        <v>275</v>
      </c>
      <c r="B1" s="14" t="s">
        <v>155</v>
      </c>
      <c r="C1" s="14" t="s">
        <v>156</v>
      </c>
      <c r="D1" s="14" t="s">
        <v>154</v>
      </c>
    </row>
    <row r="2" spans="1:6" x14ac:dyDescent="0.2">
      <c r="A2" s="19" t="s">
        <v>12</v>
      </c>
      <c r="B2" s="6">
        <v>19261</v>
      </c>
      <c r="C2" s="108">
        <v>657738300</v>
      </c>
      <c r="D2" s="108">
        <v>34148.709828150146</v>
      </c>
    </row>
    <row r="3" spans="1:6" ht="42.75" customHeight="1" x14ac:dyDescent="0.2">
      <c r="A3" s="19" t="s">
        <v>45</v>
      </c>
      <c r="B3" s="6">
        <v>17783</v>
      </c>
      <c r="C3" s="108">
        <v>1968165900</v>
      </c>
      <c r="D3" s="108">
        <v>110676.82055896081</v>
      </c>
    </row>
    <row r="4" spans="1:6" x14ac:dyDescent="0.2">
      <c r="A4" s="19" t="s">
        <v>46</v>
      </c>
      <c r="B4" s="6">
        <v>9648</v>
      </c>
      <c r="C4" s="108">
        <v>964851000</v>
      </c>
      <c r="D4" s="108">
        <v>100005.28606965175</v>
      </c>
    </row>
    <row r="5" spans="1:6" x14ac:dyDescent="0.2">
      <c r="A5" s="19" t="s">
        <v>15</v>
      </c>
      <c r="B5" s="6">
        <v>55297</v>
      </c>
      <c r="C5" s="108">
        <v>2281630300</v>
      </c>
      <c r="D5" s="108">
        <v>41261.37584317413</v>
      </c>
    </row>
    <row r="6" spans="1:6" x14ac:dyDescent="0.2">
      <c r="A6" s="19" t="s">
        <v>16</v>
      </c>
      <c r="B6" s="6">
        <v>19890</v>
      </c>
      <c r="C6" s="108">
        <v>1498490600</v>
      </c>
      <c r="D6" s="108">
        <v>75338.893916540968</v>
      </c>
    </row>
    <row r="7" spans="1:6" x14ac:dyDescent="0.2">
      <c r="A7" s="19" t="s">
        <v>17</v>
      </c>
      <c r="B7" s="6">
        <v>126909</v>
      </c>
      <c r="C7" s="108">
        <v>3777726600</v>
      </c>
      <c r="D7" s="108">
        <v>29767.207999432663</v>
      </c>
      <c r="F7" s="102"/>
    </row>
    <row r="8" spans="1:6" x14ac:dyDescent="0.2">
      <c r="A8" s="19" t="s">
        <v>18</v>
      </c>
      <c r="B8" s="6">
        <v>18306</v>
      </c>
      <c r="C8" s="108">
        <v>1465529700</v>
      </c>
      <c r="D8" s="108">
        <v>80057.34185512946</v>
      </c>
      <c r="F8" s="102"/>
    </row>
    <row r="9" spans="1:6" x14ac:dyDescent="0.2">
      <c r="A9" s="19" t="s">
        <v>19</v>
      </c>
      <c r="B9" s="6">
        <v>47263</v>
      </c>
      <c r="C9" s="108">
        <v>1487486900</v>
      </c>
      <c r="D9" s="108">
        <v>31472.545119861203</v>
      </c>
      <c r="F9" s="102"/>
    </row>
    <row r="10" spans="1:6" x14ac:dyDescent="0.2">
      <c r="A10" s="19" t="s">
        <v>20</v>
      </c>
      <c r="B10" s="6">
        <v>33489</v>
      </c>
      <c r="C10" s="108">
        <v>938405800</v>
      </c>
      <c r="D10" s="108">
        <v>28021.314461464957</v>
      </c>
      <c r="F10" s="102"/>
    </row>
    <row r="11" spans="1:6" x14ac:dyDescent="0.2">
      <c r="A11" s="19" t="s">
        <v>21</v>
      </c>
      <c r="B11" s="6">
        <v>38924</v>
      </c>
      <c r="C11" s="108">
        <v>1274530600</v>
      </c>
      <c r="D11" s="108">
        <v>32744.080772787998</v>
      </c>
      <c r="F11" s="102"/>
    </row>
    <row r="12" spans="1:6" x14ac:dyDescent="0.2">
      <c r="A12" s="19" t="s">
        <v>22</v>
      </c>
      <c r="B12" s="6">
        <v>40867</v>
      </c>
      <c r="C12" s="108">
        <v>2110964600</v>
      </c>
      <c r="D12" s="108">
        <v>51654.503633738714</v>
      </c>
      <c r="F12" s="102"/>
    </row>
    <row r="13" spans="1:6" x14ac:dyDescent="0.2">
      <c r="A13" s="19" t="s">
        <v>23</v>
      </c>
      <c r="B13" s="6">
        <v>5351</v>
      </c>
      <c r="C13" s="108">
        <v>42671800</v>
      </c>
      <c r="D13" s="108">
        <v>7974.5468136796862</v>
      </c>
      <c r="F13" s="102"/>
    </row>
    <row r="14" spans="1:6" x14ac:dyDescent="0.2">
      <c r="A14" s="19" t="s">
        <v>24</v>
      </c>
      <c r="B14" s="6">
        <v>26659</v>
      </c>
      <c r="C14" s="108">
        <v>755938800</v>
      </c>
      <c r="D14" s="108">
        <v>28355.85730897633</v>
      </c>
      <c r="F14" s="102"/>
    </row>
    <row r="15" spans="1:6" x14ac:dyDescent="0.2">
      <c r="A15" s="19" t="s">
        <v>47</v>
      </c>
      <c r="B15" s="6">
        <v>17386</v>
      </c>
      <c r="C15" s="108">
        <v>407637700</v>
      </c>
      <c r="D15" s="108">
        <v>23446.318877257563</v>
      </c>
      <c r="F15" s="102"/>
    </row>
    <row r="16" spans="1:6" x14ac:dyDescent="0.2">
      <c r="A16" s="19" t="s">
        <v>48</v>
      </c>
      <c r="B16" s="6">
        <v>8749</v>
      </c>
      <c r="C16" s="108">
        <v>784753700</v>
      </c>
      <c r="D16" s="108">
        <v>89696.388158646703</v>
      </c>
      <c r="F16" s="102"/>
    </row>
    <row r="17" spans="1:6" x14ac:dyDescent="0.2">
      <c r="A17" s="19" t="s">
        <v>27</v>
      </c>
      <c r="B17" s="6">
        <v>30021</v>
      </c>
      <c r="C17" s="108">
        <v>1238426400</v>
      </c>
      <c r="D17" s="108">
        <v>41252.003597481766</v>
      </c>
      <c r="F17" s="102"/>
    </row>
    <row r="18" spans="1:6" x14ac:dyDescent="0.2">
      <c r="A18" s="19" t="s">
        <v>28</v>
      </c>
      <c r="B18" s="6">
        <v>54161</v>
      </c>
      <c r="C18" s="108">
        <v>1136172600</v>
      </c>
      <c r="D18" s="108">
        <v>20977.688742822327</v>
      </c>
      <c r="F18" s="102"/>
    </row>
    <row r="19" spans="1:6" x14ac:dyDescent="0.2">
      <c r="A19" s="19" t="s">
        <v>29</v>
      </c>
      <c r="B19" s="6">
        <v>36772</v>
      </c>
      <c r="C19" s="108">
        <v>2380795400</v>
      </c>
      <c r="D19" s="108">
        <v>64744.789513760472</v>
      </c>
      <c r="F19" s="102"/>
    </row>
    <row r="20" spans="1:6" x14ac:dyDescent="0.2">
      <c r="A20" s="19" t="s">
        <v>30</v>
      </c>
      <c r="B20" s="6">
        <v>4403</v>
      </c>
      <c r="C20" s="108">
        <v>570852900</v>
      </c>
      <c r="D20" s="108">
        <v>129650.897115603</v>
      </c>
      <c r="F20" s="102"/>
    </row>
    <row r="21" spans="1:6" x14ac:dyDescent="0.2">
      <c r="A21" s="19" t="s">
        <v>49</v>
      </c>
      <c r="B21" s="6">
        <v>32571</v>
      </c>
      <c r="C21" s="108">
        <v>2723214800</v>
      </c>
      <c r="D21" s="108">
        <v>83608.5720426146</v>
      </c>
      <c r="F21" s="102"/>
    </row>
    <row r="22" spans="1:6" x14ac:dyDescent="0.2">
      <c r="A22" s="19" t="s">
        <v>50</v>
      </c>
      <c r="B22" s="6">
        <v>6619</v>
      </c>
      <c r="C22" s="108">
        <v>510121900</v>
      </c>
      <c r="D22" s="108">
        <v>77069.330714609459</v>
      </c>
      <c r="F22" s="102"/>
    </row>
    <row r="23" spans="1:6" x14ac:dyDescent="0.2">
      <c r="A23" s="19" t="s">
        <v>33</v>
      </c>
      <c r="B23" s="6">
        <v>33526</v>
      </c>
      <c r="C23" s="109">
        <v>1603737100</v>
      </c>
      <c r="D23" s="108">
        <v>47835.623098490723</v>
      </c>
      <c r="F23" s="102"/>
    </row>
    <row r="24" spans="1:6" x14ac:dyDescent="0.2">
      <c r="F24" s="102"/>
    </row>
    <row r="25" spans="1:6" x14ac:dyDescent="0.2">
      <c r="F25" s="102"/>
    </row>
    <row r="26" spans="1:6" x14ac:dyDescent="0.2">
      <c r="F26" s="102"/>
    </row>
    <row r="27" spans="1:6" x14ac:dyDescent="0.2">
      <c r="F27" s="102"/>
    </row>
    <row r="28" spans="1:6" x14ac:dyDescent="0.2">
      <c r="F28" s="102"/>
    </row>
    <row r="29" spans="1:6" x14ac:dyDescent="0.2">
      <c r="C29" s="101"/>
    </row>
    <row r="30" spans="1:6" x14ac:dyDescent="0.2">
      <c r="A30" t="s">
        <v>34</v>
      </c>
    </row>
    <row r="31" spans="1:6" x14ac:dyDescent="0.2">
      <c r="A31" t="s">
        <v>157</v>
      </c>
    </row>
    <row r="32" spans="1:6" x14ac:dyDescent="0.2">
      <c r="A32" t="s">
        <v>158</v>
      </c>
    </row>
    <row r="33" spans="1:1" x14ac:dyDescent="0.2">
      <c r="A33" t="s">
        <v>37</v>
      </c>
    </row>
    <row r="35" spans="1:1" x14ac:dyDescent="0.2">
      <c r="A35" t="s">
        <v>159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A9D08E"/>
  </sheetPr>
  <dimension ref="A1:L33"/>
  <sheetViews>
    <sheetView workbookViewId="0">
      <pane xSplit="1" topLeftCell="C1" activePane="topRight" state="frozen"/>
      <selection pane="topRight" activeCell="C1" sqref="A1:C1048576"/>
    </sheetView>
  </sheetViews>
  <sheetFormatPr baseColWidth="10" defaultColWidth="8.83203125" defaultRowHeight="15" x14ac:dyDescent="0.2"/>
  <cols>
    <col min="1" max="1" width="25.83203125" customWidth="1"/>
    <col min="2" max="2" width="15.1640625" customWidth="1"/>
    <col min="3" max="3" width="15.5" customWidth="1"/>
    <col min="4" max="4" width="6.33203125" customWidth="1"/>
    <col min="5" max="5" width="10.1640625" bestFit="1" customWidth="1"/>
    <col min="6" max="6" width="6.83203125" customWidth="1"/>
    <col min="7" max="7" width="10.1640625" bestFit="1" customWidth="1"/>
    <col min="8" max="8" width="6.33203125" bestFit="1" customWidth="1"/>
    <col min="9" max="9" width="18.33203125" customWidth="1"/>
    <col min="10" max="10" width="6.5" customWidth="1"/>
    <col min="11" max="11" width="16.1640625" customWidth="1"/>
    <col min="12" max="12" width="6.5" customWidth="1"/>
    <col min="13" max="27" width="11.1640625" customWidth="1"/>
    <col min="28" max="58" width="35.6640625" customWidth="1"/>
  </cols>
  <sheetData>
    <row r="1" spans="1:12" ht="21" x14ac:dyDescent="0.25">
      <c r="A1" s="11" t="s">
        <v>160</v>
      </c>
    </row>
    <row r="2" spans="1:12" x14ac:dyDescent="0.2">
      <c r="A2" s="22"/>
    </row>
    <row r="3" spans="1:12" ht="48" x14ac:dyDescent="0.2">
      <c r="A3" s="120"/>
      <c r="B3" s="120" t="s">
        <v>161</v>
      </c>
      <c r="C3" s="120" t="s">
        <v>162</v>
      </c>
      <c r="D3" s="15" t="s">
        <v>3</v>
      </c>
      <c r="E3" s="120" t="s">
        <v>163</v>
      </c>
      <c r="F3" s="15" t="s">
        <v>3</v>
      </c>
      <c r="G3" s="120" t="s">
        <v>164</v>
      </c>
      <c r="H3" s="120" t="s">
        <v>3</v>
      </c>
      <c r="I3" s="120" t="s">
        <v>165</v>
      </c>
      <c r="J3" s="15" t="s">
        <v>3</v>
      </c>
      <c r="K3" s="120" t="s">
        <v>166</v>
      </c>
      <c r="L3" s="15" t="s">
        <v>3</v>
      </c>
    </row>
    <row r="4" spans="1:12" x14ac:dyDescent="0.2">
      <c r="A4" s="16" t="s">
        <v>44</v>
      </c>
      <c r="B4" s="16">
        <v>154842185</v>
      </c>
      <c r="C4" s="16">
        <v>59647283</v>
      </c>
      <c r="D4" s="90">
        <v>0.38521339000738075</v>
      </c>
      <c r="E4" s="16">
        <v>27489501</v>
      </c>
      <c r="F4" s="90">
        <v>0.17753237594780777</v>
      </c>
      <c r="G4" s="16">
        <v>33491626</v>
      </c>
      <c r="H4" s="90">
        <v>0.21629522988196015</v>
      </c>
      <c r="I4" s="16">
        <v>13713796</v>
      </c>
      <c r="J4" s="90">
        <v>8.8566277981675337E-2</v>
      </c>
      <c r="K4" s="16">
        <v>20499979</v>
      </c>
      <c r="L4" s="18">
        <v>0.13239272618117601</v>
      </c>
    </row>
    <row r="5" spans="1:12" x14ac:dyDescent="0.2">
      <c r="A5" s="16" t="s">
        <v>10</v>
      </c>
      <c r="B5" s="16">
        <v>3612375</v>
      </c>
      <c r="C5" s="16">
        <v>1690459</v>
      </c>
      <c r="D5" s="90">
        <v>0.46796332053012213</v>
      </c>
      <c r="E5" s="16">
        <v>625045</v>
      </c>
      <c r="F5" s="90">
        <v>0.17302882452680024</v>
      </c>
      <c r="G5" s="16">
        <v>717181</v>
      </c>
      <c r="H5" s="90">
        <v>0.19853448216201253</v>
      </c>
      <c r="I5" s="16">
        <v>242426</v>
      </c>
      <c r="J5" s="90">
        <v>6.7109865393266202E-2</v>
      </c>
      <c r="K5" s="16">
        <v>337264</v>
      </c>
      <c r="L5" s="18">
        <v>9.3363507387798889E-2</v>
      </c>
    </row>
    <row r="6" spans="1:12" x14ac:dyDescent="0.2">
      <c r="A6" s="16" t="s">
        <v>11</v>
      </c>
      <c r="B6" s="16">
        <v>381738</v>
      </c>
      <c r="C6" s="16">
        <v>193226</v>
      </c>
      <c r="D6" s="90">
        <v>0.50617439186038593</v>
      </c>
      <c r="E6" s="16">
        <v>75420</v>
      </c>
      <c r="F6" s="90">
        <v>0.19757006114141112</v>
      </c>
      <c r="G6" s="16">
        <v>72805</v>
      </c>
      <c r="H6" s="90">
        <v>0.19071981306550567</v>
      </c>
      <c r="I6" s="16">
        <v>14801</v>
      </c>
      <c r="J6" s="90">
        <v>3.877266606939838E-2</v>
      </c>
      <c r="K6" s="16">
        <v>25486</v>
      </c>
      <c r="L6" s="18">
        <v>6.6763067863298914E-2</v>
      </c>
    </row>
    <row r="7" spans="1:12" x14ac:dyDescent="0.2">
      <c r="A7" s="19" t="s">
        <v>12</v>
      </c>
      <c r="B7" s="16">
        <v>10708</v>
      </c>
      <c r="C7" s="16">
        <v>5846</v>
      </c>
      <c r="D7" s="90">
        <v>0.54594695554725436</v>
      </c>
      <c r="E7" s="16">
        <v>1960</v>
      </c>
      <c r="F7" s="90">
        <v>0.18304071722076951</v>
      </c>
      <c r="G7" s="16">
        <v>2401</v>
      </c>
      <c r="H7" s="90">
        <v>0.22422487859544266</v>
      </c>
      <c r="I7" s="16">
        <v>137</v>
      </c>
      <c r="J7" s="90">
        <v>1.2794172581247666E-2</v>
      </c>
      <c r="K7" s="16">
        <v>364</v>
      </c>
      <c r="L7" s="18">
        <v>3.3993276055285765E-2</v>
      </c>
    </row>
    <row r="8" spans="1:12" x14ac:dyDescent="0.2">
      <c r="A8" s="19" t="s">
        <v>45</v>
      </c>
      <c r="B8" s="16">
        <v>11226</v>
      </c>
      <c r="C8" s="16">
        <v>8365</v>
      </c>
      <c r="D8" s="90">
        <v>0.74514519864600037</v>
      </c>
      <c r="E8" s="16">
        <v>762</v>
      </c>
      <c r="F8" s="90">
        <v>6.7878140032068407E-2</v>
      </c>
      <c r="G8" s="16">
        <v>1852</v>
      </c>
      <c r="H8" s="90">
        <v>0.16497416711206128</v>
      </c>
      <c r="I8" s="16">
        <v>66</v>
      </c>
      <c r="J8" s="90">
        <v>5.8792089791555322E-3</v>
      </c>
      <c r="K8" s="16">
        <v>181</v>
      </c>
      <c r="L8" s="18">
        <v>1.6123285230714414E-2</v>
      </c>
    </row>
    <row r="9" spans="1:12" x14ac:dyDescent="0.2">
      <c r="A9" s="19" t="s">
        <v>46</v>
      </c>
      <c r="B9" s="16">
        <v>6836</v>
      </c>
      <c r="C9" s="16">
        <v>5567</v>
      </c>
      <c r="D9" s="90">
        <v>0.81436512580456411</v>
      </c>
      <c r="E9" s="16">
        <v>288</v>
      </c>
      <c r="F9" s="90">
        <v>4.2129900526623756E-2</v>
      </c>
      <c r="G9" s="16">
        <v>865</v>
      </c>
      <c r="H9" s="90">
        <v>0.12653598595669982</v>
      </c>
      <c r="I9" s="16">
        <v>64</v>
      </c>
      <c r="J9" s="90">
        <v>9.3622001170275016E-3</v>
      </c>
      <c r="K9" s="16">
        <v>52</v>
      </c>
      <c r="L9" s="18">
        <v>7.6067875950848445E-3</v>
      </c>
    </row>
    <row r="10" spans="1:12" x14ac:dyDescent="0.2">
      <c r="A10" s="19" t="s">
        <v>15</v>
      </c>
      <c r="B10" s="16">
        <v>36173</v>
      </c>
      <c r="C10" s="16">
        <v>22048</v>
      </c>
      <c r="D10" s="90">
        <v>0.60951538440273134</v>
      </c>
      <c r="E10" s="16">
        <v>5532</v>
      </c>
      <c r="F10" s="90">
        <v>0.15293174467144002</v>
      </c>
      <c r="G10" s="16">
        <v>5906</v>
      </c>
      <c r="H10" s="90">
        <v>0.16327094794459956</v>
      </c>
      <c r="I10" s="16">
        <v>1080</v>
      </c>
      <c r="J10" s="90">
        <v>2.9856522820888506E-2</v>
      </c>
      <c r="K10" s="16">
        <v>1607</v>
      </c>
      <c r="L10" s="18">
        <v>4.4425400160340585E-2</v>
      </c>
    </row>
    <row r="11" spans="1:12" x14ac:dyDescent="0.2">
      <c r="A11" s="19" t="s">
        <v>16</v>
      </c>
      <c r="B11" s="16">
        <v>11878</v>
      </c>
      <c r="C11" s="16">
        <v>7501</v>
      </c>
      <c r="D11" s="90">
        <v>0.63150362013807038</v>
      </c>
      <c r="E11" s="16">
        <v>1230</v>
      </c>
      <c r="F11" s="90">
        <v>0.10355278666442162</v>
      </c>
      <c r="G11" s="16">
        <v>2461</v>
      </c>
      <c r="H11" s="90">
        <v>0.20718976258629399</v>
      </c>
      <c r="I11" s="16">
        <v>290</v>
      </c>
      <c r="J11" s="90">
        <v>2.4414884660717291E-2</v>
      </c>
      <c r="K11" s="16">
        <v>396</v>
      </c>
      <c r="L11" s="18">
        <v>3.3338945950496718E-2</v>
      </c>
    </row>
    <row r="12" spans="1:12" x14ac:dyDescent="0.2">
      <c r="A12" s="19" t="s">
        <v>17</v>
      </c>
      <c r="B12" s="16">
        <v>64516</v>
      </c>
      <c r="C12" s="16">
        <v>22302</v>
      </c>
      <c r="D12" s="90">
        <v>0.34568169136338273</v>
      </c>
      <c r="E12" s="16">
        <v>17578</v>
      </c>
      <c r="F12" s="90">
        <v>0.27245954491908986</v>
      </c>
      <c r="G12" s="16">
        <v>13665</v>
      </c>
      <c r="H12" s="90">
        <v>0.21180792361584724</v>
      </c>
      <c r="I12" s="16">
        <v>3987</v>
      </c>
      <c r="J12" s="90">
        <v>6.1798623597247193E-2</v>
      </c>
      <c r="K12" s="16">
        <v>6984</v>
      </c>
      <c r="L12" s="18">
        <v>0.10825221650443301</v>
      </c>
    </row>
    <row r="13" spans="1:12" x14ac:dyDescent="0.2">
      <c r="A13" s="19" t="s">
        <v>18</v>
      </c>
      <c r="B13" s="16">
        <v>9674</v>
      </c>
      <c r="C13" s="16">
        <v>6318</v>
      </c>
      <c r="D13" s="90">
        <v>0.65309075873475297</v>
      </c>
      <c r="E13" s="16">
        <v>1281</v>
      </c>
      <c r="F13" s="90">
        <v>0.13241678726483358</v>
      </c>
      <c r="G13" s="16">
        <v>1597</v>
      </c>
      <c r="H13" s="90">
        <v>0.16508166218730619</v>
      </c>
      <c r="I13" s="16">
        <v>98</v>
      </c>
      <c r="J13" s="90">
        <v>1.0130246020260492E-2</v>
      </c>
      <c r="K13" s="16">
        <v>380</v>
      </c>
      <c r="L13" s="18">
        <v>3.9280545792846809E-2</v>
      </c>
    </row>
    <row r="14" spans="1:12" x14ac:dyDescent="0.2">
      <c r="A14" s="19" t="s">
        <v>19</v>
      </c>
      <c r="B14" s="16">
        <v>27653</v>
      </c>
      <c r="C14" s="16">
        <v>7374</v>
      </c>
      <c r="D14" s="90">
        <v>0.2666618450077749</v>
      </c>
      <c r="E14" s="16">
        <v>10573</v>
      </c>
      <c r="F14" s="90">
        <v>0.38234549596788775</v>
      </c>
      <c r="G14" s="16">
        <v>4244</v>
      </c>
      <c r="H14" s="90">
        <v>0.15347340252413844</v>
      </c>
      <c r="I14" s="16">
        <v>2513</v>
      </c>
      <c r="J14" s="90">
        <v>9.0876215962101756E-2</v>
      </c>
      <c r="K14" s="16">
        <v>2949</v>
      </c>
      <c r="L14" s="18">
        <v>0.10664304053809713</v>
      </c>
    </row>
    <row r="15" spans="1:12" x14ac:dyDescent="0.2">
      <c r="A15" s="19" t="s">
        <v>20</v>
      </c>
      <c r="B15" s="16">
        <v>16880</v>
      </c>
      <c r="C15" s="16">
        <v>9749</v>
      </c>
      <c r="D15" s="90">
        <v>0.57754739336492888</v>
      </c>
      <c r="E15" s="16">
        <v>2415</v>
      </c>
      <c r="F15" s="90">
        <v>0.14306872037914692</v>
      </c>
      <c r="G15" s="16">
        <v>4084</v>
      </c>
      <c r="H15" s="90">
        <v>0.24194312796208531</v>
      </c>
      <c r="I15" s="16">
        <v>148</v>
      </c>
      <c r="J15" s="90">
        <v>8.7677725118483416E-3</v>
      </c>
      <c r="K15" s="16">
        <v>484</v>
      </c>
      <c r="L15" s="18">
        <v>2.8672985781990522E-2</v>
      </c>
    </row>
    <row r="16" spans="1:12" x14ac:dyDescent="0.2">
      <c r="A16" s="19" t="s">
        <v>21</v>
      </c>
      <c r="B16" s="16">
        <v>20214</v>
      </c>
      <c r="C16" s="16">
        <v>7365</v>
      </c>
      <c r="D16" s="90">
        <v>0.36435143959631938</v>
      </c>
      <c r="E16" s="16">
        <v>4824</v>
      </c>
      <c r="F16" s="90">
        <v>0.23864648263579696</v>
      </c>
      <c r="G16" s="16">
        <v>4339</v>
      </c>
      <c r="H16" s="90">
        <v>0.21465321064608686</v>
      </c>
      <c r="I16" s="16">
        <v>1272</v>
      </c>
      <c r="J16" s="90">
        <v>6.2926684476105665E-2</v>
      </c>
      <c r="K16" s="16">
        <v>2414</v>
      </c>
      <c r="L16" s="18">
        <v>0.1194221826456911</v>
      </c>
    </row>
    <row r="17" spans="1:12" x14ac:dyDescent="0.2">
      <c r="A17" s="19" t="s">
        <v>22</v>
      </c>
      <c r="B17" s="16">
        <v>24713</v>
      </c>
      <c r="C17" s="16">
        <v>15841</v>
      </c>
      <c r="D17" s="90">
        <v>0.64099866467041633</v>
      </c>
      <c r="E17" s="16">
        <v>3884</v>
      </c>
      <c r="F17" s="90">
        <v>0.15716424553878525</v>
      </c>
      <c r="G17" s="16">
        <v>3488</v>
      </c>
      <c r="H17" s="90">
        <v>0.14114029053534577</v>
      </c>
      <c r="I17" s="16">
        <v>532</v>
      </c>
      <c r="J17" s="90">
        <v>2.1527131469267189E-2</v>
      </c>
      <c r="K17" s="16">
        <v>968</v>
      </c>
      <c r="L17" s="18">
        <v>3.9169667786185407E-2</v>
      </c>
    </row>
    <row r="18" spans="1:12" x14ac:dyDescent="0.2">
      <c r="A18" s="19" t="s">
        <v>23</v>
      </c>
      <c r="B18" s="16">
        <v>2484</v>
      </c>
      <c r="C18" s="16">
        <v>821</v>
      </c>
      <c r="D18" s="90">
        <v>0.33051529790660228</v>
      </c>
      <c r="E18" s="16">
        <v>728</v>
      </c>
      <c r="F18" s="90">
        <v>0.29307568438003223</v>
      </c>
      <c r="G18" s="16">
        <v>856</v>
      </c>
      <c r="H18" s="90">
        <v>0.34460547504025762</v>
      </c>
      <c r="I18" s="16">
        <v>17</v>
      </c>
      <c r="J18" s="90">
        <v>6.8438003220611917E-3</v>
      </c>
      <c r="K18" s="16">
        <v>62</v>
      </c>
      <c r="L18" s="18">
        <v>2.4959742351046699E-2</v>
      </c>
    </row>
    <row r="19" spans="1:12" x14ac:dyDescent="0.2">
      <c r="A19" s="19" t="s">
        <v>24</v>
      </c>
      <c r="B19" s="16">
        <v>13005</v>
      </c>
      <c r="C19" s="16">
        <v>4010</v>
      </c>
      <c r="D19" s="90">
        <v>0.30834294502114573</v>
      </c>
      <c r="E19" s="16">
        <v>3850</v>
      </c>
      <c r="F19" s="90">
        <v>0.29603998462129949</v>
      </c>
      <c r="G19" s="16">
        <v>3018</v>
      </c>
      <c r="H19" s="90">
        <v>0.23206459054209919</v>
      </c>
      <c r="I19" s="16">
        <v>609</v>
      </c>
      <c r="J19" s="90">
        <v>4.6828143021914646E-2</v>
      </c>
      <c r="K19" s="16">
        <v>1518</v>
      </c>
      <c r="L19" s="18">
        <v>0.11672433679354094</v>
      </c>
    </row>
    <row r="20" spans="1:12" x14ac:dyDescent="0.2">
      <c r="A20" s="19" t="s">
        <v>47</v>
      </c>
      <c r="B20" s="16">
        <v>8631</v>
      </c>
      <c r="C20" s="16">
        <v>4508</v>
      </c>
      <c r="D20" s="90">
        <v>0.52230332522303324</v>
      </c>
      <c r="E20" s="16">
        <v>1872</v>
      </c>
      <c r="F20" s="90">
        <v>0.21689259645464026</v>
      </c>
      <c r="G20" s="16">
        <v>1761</v>
      </c>
      <c r="H20" s="90">
        <v>0.20403197775460549</v>
      </c>
      <c r="I20" s="16">
        <v>169</v>
      </c>
      <c r="J20" s="90">
        <v>1.9580581624377244E-2</v>
      </c>
      <c r="K20" s="16">
        <v>321</v>
      </c>
      <c r="L20" s="18">
        <v>3.7191518943343764E-2</v>
      </c>
    </row>
    <row r="21" spans="1:12" x14ac:dyDescent="0.2">
      <c r="A21" s="19" t="s">
        <v>48</v>
      </c>
      <c r="B21" s="16">
        <v>6887</v>
      </c>
      <c r="C21" s="16">
        <v>4876</v>
      </c>
      <c r="D21" s="90">
        <v>0.70800058080441408</v>
      </c>
      <c r="E21" s="16">
        <v>436</v>
      </c>
      <c r="F21" s="90">
        <v>6.3307681138376648E-2</v>
      </c>
      <c r="G21" s="16">
        <v>1331</v>
      </c>
      <c r="H21" s="90">
        <v>0.19326266879628284</v>
      </c>
      <c r="I21" s="16">
        <v>154</v>
      </c>
      <c r="J21" s="90">
        <v>2.236096994337157E-2</v>
      </c>
      <c r="K21" s="16">
        <v>90</v>
      </c>
      <c r="L21" s="18">
        <v>1.3068099317554814E-2</v>
      </c>
    </row>
    <row r="22" spans="1:12" x14ac:dyDescent="0.2">
      <c r="A22" s="19" t="s">
        <v>27</v>
      </c>
      <c r="B22" s="16">
        <v>17138</v>
      </c>
      <c r="C22" s="16">
        <v>8429</v>
      </c>
      <c r="D22" s="90">
        <v>0.49183101878865676</v>
      </c>
      <c r="E22" s="16">
        <v>3486</v>
      </c>
      <c r="F22" s="90">
        <v>0.20340763216244603</v>
      </c>
      <c r="G22" s="16">
        <v>3430</v>
      </c>
      <c r="H22" s="90">
        <v>0.20014003967790875</v>
      </c>
      <c r="I22" s="16">
        <v>767</v>
      </c>
      <c r="J22" s="90">
        <v>4.4754347065001754E-2</v>
      </c>
      <c r="K22" s="16">
        <v>1026</v>
      </c>
      <c r="L22" s="18">
        <v>5.9866962305986697E-2</v>
      </c>
    </row>
    <row r="23" spans="1:12" x14ac:dyDescent="0.2">
      <c r="A23" s="19" t="s">
        <v>28</v>
      </c>
      <c r="B23" s="16">
        <v>23416</v>
      </c>
      <c r="C23" s="16">
        <v>7785</v>
      </c>
      <c r="D23" s="90">
        <v>0.33246498120942947</v>
      </c>
      <c r="E23" s="16">
        <v>6702</v>
      </c>
      <c r="F23" s="90">
        <v>0.28621455415100788</v>
      </c>
      <c r="G23" s="16">
        <v>5093</v>
      </c>
      <c r="H23" s="90">
        <v>0.2175008541168432</v>
      </c>
      <c r="I23" s="16">
        <v>985</v>
      </c>
      <c r="J23" s="90">
        <v>4.2065254526819272E-2</v>
      </c>
      <c r="K23" s="16">
        <v>2851</v>
      </c>
      <c r="L23" s="18">
        <v>0.12175435599590025</v>
      </c>
    </row>
    <row r="24" spans="1:12" x14ac:dyDescent="0.2">
      <c r="A24" s="19" t="s">
        <v>29</v>
      </c>
      <c r="B24" s="16">
        <v>24588</v>
      </c>
      <c r="C24" s="16">
        <v>15803</v>
      </c>
      <c r="D24" s="90">
        <v>0.64271189197982759</v>
      </c>
      <c r="E24" s="16">
        <v>2516</v>
      </c>
      <c r="F24" s="90">
        <v>0.10232633805108182</v>
      </c>
      <c r="G24" s="16">
        <v>4902</v>
      </c>
      <c r="H24" s="90">
        <v>0.19936554416788677</v>
      </c>
      <c r="I24" s="16">
        <v>603</v>
      </c>
      <c r="J24" s="90">
        <v>2.4524158125915081E-2</v>
      </c>
      <c r="K24" s="16">
        <v>764</v>
      </c>
      <c r="L24" s="18">
        <v>3.1072067675288757E-2</v>
      </c>
    </row>
    <row r="25" spans="1:12" x14ac:dyDescent="0.2">
      <c r="A25" s="19" t="s">
        <v>30</v>
      </c>
      <c r="B25" s="16">
        <v>3368</v>
      </c>
      <c r="C25" s="16">
        <v>2417</v>
      </c>
      <c r="D25" s="90">
        <v>0.71763657957244653</v>
      </c>
      <c r="E25" s="16">
        <v>236</v>
      </c>
      <c r="F25" s="90">
        <v>7.0071258907363418E-2</v>
      </c>
      <c r="G25" s="16">
        <v>580</v>
      </c>
      <c r="H25" s="90">
        <v>0.17220902612826602</v>
      </c>
      <c r="I25" s="16">
        <v>19</v>
      </c>
      <c r="J25" s="90">
        <v>5.6413301662707836E-3</v>
      </c>
      <c r="K25" s="16">
        <v>116</v>
      </c>
      <c r="L25" s="18">
        <v>3.4441805225653203E-2</v>
      </c>
    </row>
    <row r="26" spans="1:12" x14ac:dyDescent="0.2">
      <c r="A26" s="19" t="s">
        <v>49</v>
      </c>
      <c r="B26" s="16">
        <v>19493</v>
      </c>
      <c r="C26" s="16">
        <v>13238</v>
      </c>
      <c r="D26" s="90">
        <v>0.67911557995177751</v>
      </c>
      <c r="E26" s="16">
        <v>2287</v>
      </c>
      <c r="F26" s="90">
        <v>0.11732416764992562</v>
      </c>
      <c r="G26" s="16">
        <v>3081</v>
      </c>
      <c r="H26" s="90">
        <v>0.15805673831631867</v>
      </c>
      <c r="I26" s="16">
        <v>277</v>
      </c>
      <c r="J26" s="90">
        <v>1.4210229313086749E-2</v>
      </c>
      <c r="K26" s="16">
        <v>610</v>
      </c>
      <c r="L26" s="18">
        <v>3.12932847688914E-2</v>
      </c>
    </row>
    <row r="27" spans="1:12" x14ac:dyDescent="0.2">
      <c r="A27" s="19" t="s">
        <v>50</v>
      </c>
      <c r="B27" s="16">
        <v>3914</v>
      </c>
      <c r="C27" s="16">
        <v>3130</v>
      </c>
      <c r="D27" s="90">
        <v>0.79969340827797653</v>
      </c>
      <c r="E27" s="16">
        <v>199</v>
      </c>
      <c r="F27" s="90">
        <v>5.0843127235564639E-2</v>
      </c>
      <c r="G27" s="16">
        <v>520</v>
      </c>
      <c r="H27" s="90">
        <v>0.13285641287685232</v>
      </c>
      <c r="I27" s="16">
        <v>0</v>
      </c>
      <c r="J27" s="90">
        <v>0</v>
      </c>
      <c r="K27" s="16">
        <v>65</v>
      </c>
      <c r="L27" s="18">
        <v>1.660705160960654E-2</v>
      </c>
    </row>
    <row r="28" spans="1:12" x14ac:dyDescent="0.2">
      <c r="A28" s="19" t="s">
        <v>33</v>
      </c>
      <c r="B28" s="16">
        <v>18188</v>
      </c>
      <c r="C28" s="16">
        <v>9917</v>
      </c>
      <c r="D28" s="90">
        <v>0.54524961513085546</v>
      </c>
      <c r="E28" s="16">
        <v>2755</v>
      </c>
      <c r="F28" s="90">
        <v>0.15147349901033649</v>
      </c>
      <c r="G28" s="16">
        <v>3325</v>
      </c>
      <c r="H28" s="90">
        <v>0.18281284363316472</v>
      </c>
      <c r="I28" s="16">
        <v>962</v>
      </c>
      <c r="J28" s="90">
        <v>5.2892016714317133E-2</v>
      </c>
      <c r="K28" s="16">
        <v>1229</v>
      </c>
      <c r="L28" s="18">
        <v>6.7572025511326156E-2</v>
      </c>
    </row>
    <row r="30" spans="1:12" x14ac:dyDescent="0.2">
      <c r="A30" t="s">
        <v>34</v>
      </c>
    </row>
    <row r="31" spans="1:12" x14ac:dyDescent="0.2">
      <c r="A31" t="s">
        <v>167</v>
      </c>
    </row>
    <row r="32" spans="1:12" x14ac:dyDescent="0.2">
      <c r="A32" t="s">
        <v>168</v>
      </c>
    </row>
    <row r="33" spans="1:1" x14ac:dyDescent="0.2">
      <c r="A33" t="s">
        <v>169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A9D08E"/>
  </sheetPr>
  <dimension ref="A1:R63"/>
  <sheetViews>
    <sheetView workbookViewId="0">
      <pane xSplit="1" topLeftCell="B1" activePane="topRight" state="frozen"/>
      <selection activeCell="A7" sqref="A7"/>
      <selection pane="topRight" activeCell="B59" sqref="B59"/>
    </sheetView>
  </sheetViews>
  <sheetFormatPr baseColWidth="10" defaultColWidth="8.83203125" defaultRowHeight="15" x14ac:dyDescent="0.2"/>
  <cols>
    <col min="1" max="1" width="25.83203125" customWidth="1"/>
    <col min="2" max="2" width="15.83203125" customWidth="1"/>
    <col min="3" max="3" width="18.5" customWidth="1"/>
    <col min="4" max="4" width="6.6640625" customWidth="1"/>
    <col min="5" max="5" width="19.5" customWidth="1"/>
    <col min="6" max="6" width="6.5" customWidth="1"/>
    <col min="7" max="7" width="14" bestFit="1" customWidth="1"/>
    <col min="8" max="8" width="6.1640625" customWidth="1"/>
    <col min="9" max="9" width="19" customWidth="1"/>
    <col min="10" max="10" width="6" customWidth="1"/>
    <col min="11" max="11" width="14.1640625" customWidth="1"/>
    <col min="12" max="12" width="8.5" bestFit="1" customWidth="1"/>
    <col min="13" max="13" width="21.5" customWidth="1"/>
    <col min="14" max="14" width="5.83203125" customWidth="1"/>
    <col min="15" max="15" width="11.5" customWidth="1"/>
    <col min="16" max="16" width="7.83203125" customWidth="1"/>
    <col min="18" max="18" width="11.1640625" bestFit="1" customWidth="1"/>
  </cols>
  <sheetData>
    <row r="1" spans="1:18" ht="19" x14ac:dyDescent="0.25">
      <c r="A1" s="38" t="s">
        <v>170</v>
      </c>
    </row>
    <row r="2" spans="1:18" x14ac:dyDescent="0.2">
      <c r="F2" s="36"/>
    </row>
    <row r="3" spans="1:18" ht="48" x14ac:dyDescent="0.2">
      <c r="A3" s="14"/>
      <c r="B3" s="121" t="s">
        <v>161</v>
      </c>
      <c r="C3" s="121" t="s">
        <v>171</v>
      </c>
      <c r="D3" s="122" t="s">
        <v>3</v>
      </c>
      <c r="E3" s="121" t="s">
        <v>172</v>
      </c>
      <c r="F3" s="122" t="s">
        <v>3</v>
      </c>
      <c r="G3" s="121" t="s">
        <v>173</v>
      </c>
      <c r="H3" s="122" t="s">
        <v>3</v>
      </c>
      <c r="I3" s="121" t="s">
        <v>174</v>
      </c>
      <c r="J3" s="122" t="s">
        <v>3</v>
      </c>
      <c r="K3" s="121" t="s">
        <v>175</v>
      </c>
      <c r="L3" s="122" t="s">
        <v>3</v>
      </c>
      <c r="M3" s="121" t="s">
        <v>176</v>
      </c>
      <c r="N3" s="122" t="s">
        <v>3</v>
      </c>
      <c r="O3" s="121" t="s">
        <v>177</v>
      </c>
      <c r="P3" s="13" t="s">
        <v>3</v>
      </c>
    </row>
    <row r="4" spans="1:18" x14ac:dyDescent="0.2">
      <c r="A4" s="25" t="s">
        <v>44</v>
      </c>
      <c r="B4" s="75">
        <v>154842185</v>
      </c>
      <c r="C4" s="92">
        <v>2743687</v>
      </c>
      <c r="D4" s="95">
        <v>1.7719247503514626E-2</v>
      </c>
      <c r="E4" s="92">
        <v>10207602</v>
      </c>
      <c r="F4" s="95">
        <v>6.59226166306036E-2</v>
      </c>
      <c r="G4" s="92">
        <v>15651460</v>
      </c>
      <c r="H4" s="100">
        <v>0.10108007711206091</v>
      </c>
      <c r="I4" s="92">
        <v>4016566</v>
      </c>
      <c r="J4" s="100">
        <v>2.5939739871276034E-2</v>
      </c>
      <c r="K4" s="92">
        <v>17267009</v>
      </c>
      <c r="L4" s="100">
        <v>0.11151359689221642</v>
      </c>
      <c r="M4" s="92">
        <v>8305602</v>
      </c>
      <c r="N4" s="100">
        <v>5.3639142330625209E-2</v>
      </c>
      <c r="O4" s="92">
        <v>3114222</v>
      </c>
      <c r="P4" s="18">
        <v>2.0112232335135285E-2</v>
      </c>
      <c r="R4" s="24"/>
    </row>
    <row r="5" spans="1:18" x14ac:dyDescent="0.2">
      <c r="A5" s="25" t="s">
        <v>10</v>
      </c>
      <c r="B5" s="98">
        <v>2548292</v>
      </c>
      <c r="C5" s="107">
        <v>7428</v>
      </c>
      <c r="D5" s="94">
        <v>2.9148935836238545E-3</v>
      </c>
      <c r="E5" s="98">
        <v>135154</v>
      </c>
      <c r="F5" s="100">
        <v>5.3037093080384824E-2</v>
      </c>
      <c r="G5" s="107">
        <v>210922</v>
      </c>
      <c r="H5" s="18">
        <v>8.2769949440644947E-2</v>
      </c>
      <c r="I5" s="98">
        <v>51966</v>
      </c>
      <c r="J5" s="18">
        <v>2.0392482494156872E-2</v>
      </c>
      <c r="K5" s="98">
        <v>262398</v>
      </c>
      <c r="L5" s="18">
        <v>0.10297014627836998</v>
      </c>
      <c r="M5" s="103">
        <v>101156</v>
      </c>
      <c r="N5" s="18">
        <v>3.9695607881671334E-2</v>
      </c>
      <c r="O5" s="98">
        <v>56623</v>
      </c>
      <c r="P5" s="18">
        <v>2.2219981069673333E-2</v>
      </c>
      <c r="R5" s="24"/>
    </row>
    <row r="6" spans="1:18" x14ac:dyDescent="0.2">
      <c r="A6" s="16" t="s">
        <v>11</v>
      </c>
      <c r="B6" s="91">
        <v>381583</v>
      </c>
      <c r="C6" s="99">
        <v>426</v>
      </c>
      <c r="D6" s="18">
        <v>1.116401936144954E-3</v>
      </c>
      <c r="E6" s="91">
        <v>13019</v>
      </c>
      <c r="F6" s="18">
        <v>3.4118396259791448E-2</v>
      </c>
      <c r="G6" s="99">
        <v>16100</v>
      </c>
      <c r="H6" s="18">
        <v>4.2192655333177842E-2</v>
      </c>
      <c r="I6" s="91">
        <v>5344</v>
      </c>
      <c r="J6" s="18">
        <v>1.400481677642872E-2</v>
      </c>
      <c r="K6" s="91">
        <v>31588</v>
      </c>
      <c r="L6" s="18">
        <v>8.2781465631330542E-2</v>
      </c>
      <c r="M6" s="91">
        <v>14595</v>
      </c>
      <c r="N6" s="18">
        <v>3.8248559291163393E-2</v>
      </c>
      <c r="O6" s="91">
        <v>8847</v>
      </c>
      <c r="P6" s="18">
        <v>2.318499513867232E-2</v>
      </c>
      <c r="R6" s="24"/>
    </row>
    <row r="7" spans="1:18" x14ac:dyDescent="0.2">
      <c r="A7" s="76" t="s">
        <v>12</v>
      </c>
      <c r="B7" s="93">
        <v>10708</v>
      </c>
      <c r="C7" s="92">
        <v>0</v>
      </c>
      <c r="D7" s="95">
        <v>0</v>
      </c>
      <c r="E7" s="92">
        <v>123</v>
      </c>
      <c r="F7" s="95">
        <v>1.1486738886813598E-2</v>
      </c>
      <c r="G7" s="92">
        <v>373</v>
      </c>
      <c r="H7" s="95">
        <v>3.4833769144564812E-2</v>
      </c>
      <c r="I7" s="92">
        <v>79</v>
      </c>
      <c r="J7" s="95">
        <v>7.3776615614493833E-3</v>
      </c>
      <c r="K7" s="92">
        <v>1009</v>
      </c>
      <c r="L7" s="95">
        <v>9.4228614120283896E-2</v>
      </c>
      <c r="M7" s="92">
        <v>176</v>
      </c>
      <c r="N7" s="95">
        <v>1.6436309301456856E-2</v>
      </c>
      <c r="O7" s="92">
        <v>303</v>
      </c>
      <c r="P7" s="94">
        <v>2.8296600672394472E-2</v>
      </c>
      <c r="Q7" s="97"/>
      <c r="R7" s="24"/>
    </row>
    <row r="8" spans="1:18" x14ac:dyDescent="0.2">
      <c r="A8" s="76" t="s">
        <v>45</v>
      </c>
      <c r="B8" s="93">
        <v>11226</v>
      </c>
      <c r="C8" s="92">
        <v>15</v>
      </c>
      <c r="D8" s="95">
        <v>1.3361838588989846E-3</v>
      </c>
      <c r="E8" s="92">
        <v>245</v>
      </c>
      <c r="F8" s="95">
        <v>2.1824336362016746E-2</v>
      </c>
      <c r="G8" s="92">
        <v>609</v>
      </c>
      <c r="H8" s="95">
        <v>5.4249064671298773E-2</v>
      </c>
      <c r="I8" s="92">
        <v>232</v>
      </c>
      <c r="J8" s="95">
        <v>2.0666310350970961E-2</v>
      </c>
      <c r="K8" s="92">
        <v>580</v>
      </c>
      <c r="L8" s="95">
        <v>5.1665775877427399E-2</v>
      </c>
      <c r="M8" s="92">
        <v>106</v>
      </c>
      <c r="N8" s="95">
        <v>9.4423659362194903E-3</v>
      </c>
      <c r="O8" s="92">
        <v>382</v>
      </c>
      <c r="P8" s="94">
        <v>3.4028148939960805E-2</v>
      </c>
      <c r="Q8" s="97"/>
      <c r="R8" s="24"/>
    </row>
    <row r="9" spans="1:18" x14ac:dyDescent="0.2">
      <c r="A9" s="76" t="s">
        <v>46</v>
      </c>
      <c r="B9" s="93">
        <v>6836</v>
      </c>
      <c r="C9" s="92">
        <v>25</v>
      </c>
      <c r="D9" s="95">
        <v>3.6571094207138678E-3</v>
      </c>
      <c r="E9" s="92">
        <v>114</v>
      </c>
      <c r="F9" s="95">
        <v>1.6676418958455237E-2</v>
      </c>
      <c r="G9" s="92">
        <v>300</v>
      </c>
      <c r="H9" s="95">
        <v>4.388531304856641E-2</v>
      </c>
      <c r="I9" s="92">
        <v>69</v>
      </c>
      <c r="J9" s="95">
        <v>1.0093622001170276E-2</v>
      </c>
      <c r="K9" s="92">
        <v>347</v>
      </c>
      <c r="L9" s="95">
        <v>5.0760678759508487E-2</v>
      </c>
      <c r="M9" s="92">
        <v>40</v>
      </c>
      <c r="N9" s="95">
        <v>5.8513750731421883E-3</v>
      </c>
      <c r="O9" s="92">
        <v>227</v>
      </c>
      <c r="P9" s="94">
        <v>3.3206553540081916E-2</v>
      </c>
      <c r="Q9" s="97"/>
      <c r="R9" s="24"/>
    </row>
    <row r="10" spans="1:18" x14ac:dyDescent="0.2">
      <c r="A10" s="76" t="s">
        <v>15</v>
      </c>
      <c r="B10" s="93">
        <v>36173</v>
      </c>
      <c r="C10" s="92">
        <v>28</v>
      </c>
      <c r="D10" s="95">
        <v>7.7405799906007239E-4</v>
      </c>
      <c r="E10" s="92">
        <v>826</v>
      </c>
      <c r="F10" s="95">
        <v>2.2834710972272135E-2</v>
      </c>
      <c r="G10" s="92">
        <v>1687</v>
      </c>
      <c r="H10" s="95">
        <v>4.6636994443369363E-2</v>
      </c>
      <c r="I10" s="92">
        <v>653</v>
      </c>
      <c r="J10" s="95">
        <v>1.8052138335222404E-2</v>
      </c>
      <c r="K10" s="92">
        <v>2755</v>
      </c>
      <c r="L10" s="95">
        <v>7.6161778121803553E-2</v>
      </c>
      <c r="M10" s="92">
        <v>772</v>
      </c>
      <c r="N10" s="95">
        <v>2.134188483122771E-2</v>
      </c>
      <c r="O10" s="92">
        <v>1201</v>
      </c>
      <c r="P10" s="94">
        <v>3.3201559173969539E-2</v>
      </c>
      <c r="Q10" s="97"/>
      <c r="R10" s="24"/>
    </row>
    <row r="11" spans="1:18" x14ac:dyDescent="0.2">
      <c r="A11" s="76" t="s">
        <v>16</v>
      </c>
      <c r="B11" s="93">
        <v>11878</v>
      </c>
      <c r="C11" s="92">
        <v>0</v>
      </c>
      <c r="D11" s="95">
        <v>0</v>
      </c>
      <c r="E11" s="92">
        <v>373</v>
      </c>
      <c r="F11" s="95">
        <v>3.1402593029129483E-2</v>
      </c>
      <c r="G11" s="92">
        <v>676</v>
      </c>
      <c r="H11" s="95">
        <v>5.6911938036706515E-2</v>
      </c>
      <c r="I11" s="92">
        <v>143</v>
      </c>
      <c r="J11" s="95">
        <v>1.2039063815457147E-2</v>
      </c>
      <c r="K11" s="92">
        <v>642</v>
      </c>
      <c r="L11" s="95">
        <v>5.404950328338104E-2</v>
      </c>
      <c r="M11" s="92">
        <v>331</v>
      </c>
      <c r="N11" s="95">
        <v>2.7866644216198014E-2</v>
      </c>
      <c r="O11" s="92">
        <v>392</v>
      </c>
      <c r="P11" s="94">
        <v>3.3002188920693717E-2</v>
      </c>
      <c r="Q11" s="97"/>
      <c r="R11" s="24"/>
    </row>
    <row r="12" spans="1:18" x14ac:dyDescent="0.2">
      <c r="A12" s="76" t="s">
        <v>17</v>
      </c>
      <c r="B12" s="93">
        <v>64516</v>
      </c>
      <c r="C12" s="92">
        <v>45</v>
      </c>
      <c r="D12" s="95">
        <v>6.9750139500279003E-4</v>
      </c>
      <c r="E12" s="92">
        <v>3391</v>
      </c>
      <c r="F12" s="95">
        <v>5.256060512121024E-2</v>
      </c>
      <c r="G12" s="92">
        <v>2242</v>
      </c>
      <c r="H12" s="95">
        <v>3.4751069502139006E-2</v>
      </c>
      <c r="I12" s="92">
        <v>665</v>
      </c>
      <c r="J12" s="95">
        <v>1.030752061504123E-2</v>
      </c>
      <c r="K12" s="92">
        <v>6975</v>
      </c>
      <c r="L12" s="95">
        <v>0.10811271622543245</v>
      </c>
      <c r="M12" s="92">
        <v>4133</v>
      </c>
      <c r="N12" s="95">
        <v>6.4061628123256248E-2</v>
      </c>
      <c r="O12" s="92">
        <v>1101</v>
      </c>
      <c r="P12" s="94">
        <v>1.7065534131068261E-2</v>
      </c>
      <c r="Q12" s="97"/>
      <c r="R12" s="24"/>
    </row>
    <row r="13" spans="1:18" x14ac:dyDescent="0.2">
      <c r="A13" s="76" t="s">
        <v>18</v>
      </c>
      <c r="B13" s="93">
        <v>9674</v>
      </c>
      <c r="C13" s="92">
        <v>0</v>
      </c>
      <c r="D13" s="95">
        <v>0</v>
      </c>
      <c r="E13" s="92">
        <v>138</v>
      </c>
      <c r="F13" s="95">
        <v>1.4265040314244366E-2</v>
      </c>
      <c r="G13" s="92">
        <v>609</v>
      </c>
      <c r="H13" s="95">
        <v>6.2952243125904486E-2</v>
      </c>
      <c r="I13" s="92">
        <v>109</v>
      </c>
      <c r="J13" s="95">
        <v>1.1267314451106058E-2</v>
      </c>
      <c r="K13" s="92">
        <v>440</v>
      </c>
      <c r="L13" s="95">
        <v>4.5482737233822616E-2</v>
      </c>
      <c r="M13" s="92">
        <v>143</v>
      </c>
      <c r="N13" s="95">
        <v>1.4781889600992351E-2</v>
      </c>
      <c r="O13" s="92">
        <v>290</v>
      </c>
      <c r="P13" s="94">
        <v>2.9977258631383088E-2</v>
      </c>
      <c r="Q13" s="97"/>
      <c r="R13" s="24"/>
    </row>
    <row r="14" spans="1:18" x14ac:dyDescent="0.2">
      <c r="A14" s="76" t="s">
        <v>19</v>
      </c>
      <c r="B14" s="93">
        <v>27653</v>
      </c>
      <c r="C14" s="92">
        <v>71</v>
      </c>
      <c r="D14" s="95">
        <v>2.5675333598524572E-3</v>
      </c>
      <c r="E14" s="92">
        <v>2163</v>
      </c>
      <c r="F14" s="95">
        <v>7.8219361371279786E-2</v>
      </c>
      <c r="G14" s="92">
        <v>1381</v>
      </c>
      <c r="H14" s="95">
        <v>4.9940331971214696E-2</v>
      </c>
      <c r="I14" s="92">
        <v>548</v>
      </c>
      <c r="J14" s="95">
        <v>1.9817018045058404E-2</v>
      </c>
      <c r="K14" s="92">
        <v>1836</v>
      </c>
      <c r="L14" s="95">
        <v>6.6394242939283254E-2</v>
      </c>
      <c r="M14" s="92">
        <v>1594</v>
      </c>
      <c r="N14" s="95">
        <v>5.7642932050772068E-2</v>
      </c>
      <c r="O14" s="92">
        <v>285</v>
      </c>
      <c r="P14" s="94">
        <v>1.0306295881097891E-2</v>
      </c>
      <c r="Q14" s="97"/>
      <c r="R14" s="24"/>
    </row>
    <row r="15" spans="1:18" x14ac:dyDescent="0.2">
      <c r="A15" s="76" t="s">
        <v>20</v>
      </c>
      <c r="B15" s="93">
        <v>16880</v>
      </c>
      <c r="C15" s="92">
        <v>29</v>
      </c>
      <c r="D15" s="95">
        <v>1.7180094786729857E-3</v>
      </c>
      <c r="E15" s="92">
        <v>125</v>
      </c>
      <c r="F15" s="95">
        <v>7.4052132701421802E-3</v>
      </c>
      <c r="G15" s="92">
        <v>752</v>
      </c>
      <c r="H15" s="95">
        <v>4.4549763033175357E-2</v>
      </c>
      <c r="I15" s="92">
        <v>189</v>
      </c>
      <c r="J15" s="95">
        <v>1.1196682464454976E-2</v>
      </c>
      <c r="K15" s="92">
        <v>1431</v>
      </c>
      <c r="L15" s="95">
        <v>8.4774881516587672E-2</v>
      </c>
      <c r="M15" s="92">
        <v>115</v>
      </c>
      <c r="N15" s="95">
        <v>6.8127962085308058E-3</v>
      </c>
      <c r="O15" s="92">
        <v>499</v>
      </c>
      <c r="P15" s="94">
        <v>2.9561611374407583E-2</v>
      </c>
      <c r="Q15" s="97"/>
      <c r="R15" s="24"/>
    </row>
    <row r="16" spans="1:18" x14ac:dyDescent="0.2">
      <c r="A16" s="76" t="s">
        <v>21</v>
      </c>
      <c r="B16" s="93">
        <v>20214</v>
      </c>
      <c r="C16" s="92">
        <v>35</v>
      </c>
      <c r="D16" s="95">
        <v>1.7314732363708321E-3</v>
      </c>
      <c r="E16" s="92">
        <v>872</v>
      </c>
      <c r="F16" s="95">
        <v>4.3138418917581876E-2</v>
      </c>
      <c r="G16" s="92">
        <v>777</v>
      </c>
      <c r="H16" s="95">
        <v>3.8438705847432475E-2</v>
      </c>
      <c r="I16" s="92">
        <v>183</v>
      </c>
      <c r="J16" s="95">
        <v>9.0531314930246357E-3</v>
      </c>
      <c r="K16" s="92">
        <v>2050</v>
      </c>
      <c r="L16" s="95">
        <v>0.10141486098743445</v>
      </c>
      <c r="M16" s="92">
        <v>1210</v>
      </c>
      <c r="N16" s="95">
        <v>5.9859503314534483E-2</v>
      </c>
      <c r="O16" s="92">
        <v>417</v>
      </c>
      <c r="P16" s="94">
        <v>2.0629266844761057E-2</v>
      </c>
      <c r="Q16" s="97"/>
      <c r="R16" s="24"/>
    </row>
    <row r="17" spans="1:18" x14ac:dyDescent="0.2">
      <c r="A17" s="76" t="s">
        <v>22</v>
      </c>
      <c r="B17" s="93">
        <v>24713</v>
      </c>
      <c r="C17" s="92">
        <v>18</v>
      </c>
      <c r="D17" s="95">
        <v>7.2836159106543115E-4</v>
      </c>
      <c r="E17" s="92">
        <v>630</v>
      </c>
      <c r="F17" s="95">
        <v>2.5492655687290089E-2</v>
      </c>
      <c r="G17" s="92">
        <v>1149</v>
      </c>
      <c r="H17" s="95">
        <v>4.6493748229676689E-2</v>
      </c>
      <c r="I17" s="92">
        <v>324</v>
      </c>
      <c r="J17" s="95">
        <v>1.3110508639177761E-2</v>
      </c>
      <c r="K17" s="92">
        <v>1387</v>
      </c>
      <c r="L17" s="95">
        <v>5.6124307044875164E-2</v>
      </c>
      <c r="M17" s="92">
        <v>565</v>
      </c>
      <c r="N17" s="95">
        <v>2.2862461052887143E-2</v>
      </c>
      <c r="O17" s="92">
        <v>644</v>
      </c>
      <c r="P17" s="94">
        <v>2.6059159147007648E-2</v>
      </c>
      <c r="Q17" s="97"/>
      <c r="R17" s="24"/>
    </row>
    <row r="18" spans="1:18" x14ac:dyDescent="0.2">
      <c r="A18" s="76" t="s">
        <v>23</v>
      </c>
      <c r="B18" s="93">
        <v>2484</v>
      </c>
      <c r="C18" s="92">
        <v>0</v>
      </c>
      <c r="D18" s="95">
        <v>0</v>
      </c>
      <c r="E18" s="92">
        <v>11</v>
      </c>
      <c r="F18" s="95">
        <v>4.4283413848631237E-3</v>
      </c>
      <c r="G18" s="92">
        <v>39</v>
      </c>
      <c r="H18" s="95">
        <v>1.570048309178744E-2</v>
      </c>
      <c r="I18" s="92">
        <v>0</v>
      </c>
      <c r="J18" s="95">
        <v>0</v>
      </c>
      <c r="K18" s="92">
        <v>340</v>
      </c>
      <c r="L18" s="95">
        <v>0.13687600644122383</v>
      </c>
      <c r="M18" s="92">
        <v>9</v>
      </c>
      <c r="N18" s="95">
        <v>3.6231884057971015E-3</v>
      </c>
      <c r="O18" s="92">
        <v>41</v>
      </c>
      <c r="P18" s="94">
        <v>1.6505636070853463E-2</v>
      </c>
      <c r="Q18" s="97"/>
      <c r="R18" s="24"/>
    </row>
    <row r="19" spans="1:18" x14ac:dyDescent="0.2">
      <c r="A19" s="76" t="s">
        <v>24</v>
      </c>
      <c r="B19" s="93">
        <v>13005</v>
      </c>
      <c r="C19" s="92">
        <v>0</v>
      </c>
      <c r="D19" s="95">
        <v>0</v>
      </c>
      <c r="E19" s="92">
        <v>481</v>
      </c>
      <c r="F19" s="95">
        <v>3.6985774702037677E-2</v>
      </c>
      <c r="G19" s="92">
        <v>264</v>
      </c>
      <c r="H19" s="95">
        <v>2.0299884659746251E-2</v>
      </c>
      <c r="I19" s="92">
        <v>228</v>
      </c>
      <c r="J19" s="95">
        <v>1.7531718569780853E-2</v>
      </c>
      <c r="K19" s="92">
        <v>1593</v>
      </c>
      <c r="L19" s="95">
        <v>0.12249134948096886</v>
      </c>
      <c r="M19" s="92">
        <v>1067</v>
      </c>
      <c r="N19" s="95">
        <v>8.2045367166474439E-2</v>
      </c>
      <c r="O19" s="92">
        <v>119</v>
      </c>
      <c r="P19" s="94">
        <v>9.1503267973856214E-3</v>
      </c>
      <c r="Q19" s="97"/>
      <c r="R19" s="24"/>
    </row>
    <row r="20" spans="1:18" x14ac:dyDescent="0.2">
      <c r="A20" s="76" t="s">
        <v>47</v>
      </c>
      <c r="B20" s="93">
        <v>8631</v>
      </c>
      <c r="C20" s="92">
        <v>0</v>
      </c>
      <c r="D20" s="95">
        <v>0</v>
      </c>
      <c r="E20" s="92">
        <v>160</v>
      </c>
      <c r="F20" s="95">
        <v>1.8537828756806859E-2</v>
      </c>
      <c r="G20" s="92">
        <v>287</v>
      </c>
      <c r="H20" s="95">
        <v>3.3252230332522302E-2</v>
      </c>
      <c r="I20" s="92">
        <v>79</v>
      </c>
      <c r="J20" s="95">
        <v>9.1530529486733864E-3</v>
      </c>
      <c r="K20" s="92">
        <v>708</v>
      </c>
      <c r="L20" s="95">
        <v>8.2029892248870348E-2</v>
      </c>
      <c r="M20" s="92">
        <v>142</v>
      </c>
      <c r="N20" s="95">
        <v>1.6452323021666087E-2</v>
      </c>
      <c r="O20" s="92">
        <v>214</v>
      </c>
      <c r="P20" s="94">
        <v>2.4794345962229174E-2</v>
      </c>
      <c r="Q20" s="97"/>
      <c r="R20" s="24"/>
    </row>
    <row r="21" spans="1:18" x14ac:dyDescent="0.2">
      <c r="A21" s="76" t="s">
        <v>48</v>
      </c>
      <c r="B21" s="93">
        <v>6887</v>
      </c>
      <c r="C21" s="92">
        <v>0</v>
      </c>
      <c r="D21" s="95">
        <v>0</v>
      </c>
      <c r="E21" s="92">
        <v>177</v>
      </c>
      <c r="F21" s="95">
        <v>2.5700595324524466E-2</v>
      </c>
      <c r="G21" s="92">
        <v>248</v>
      </c>
      <c r="H21" s="95">
        <v>3.6009873675039931E-2</v>
      </c>
      <c r="I21" s="92">
        <v>257</v>
      </c>
      <c r="J21" s="95">
        <v>3.7316683606795409E-2</v>
      </c>
      <c r="K21" s="92">
        <v>403</v>
      </c>
      <c r="L21" s="95">
        <v>5.8516044721939886E-2</v>
      </c>
      <c r="M21" s="92">
        <v>129</v>
      </c>
      <c r="N21" s="95">
        <v>1.87309423551619E-2</v>
      </c>
      <c r="O21" s="92">
        <v>140</v>
      </c>
      <c r="P21" s="94">
        <v>2.0328154493974154E-2</v>
      </c>
      <c r="Q21" s="97"/>
      <c r="R21" s="24"/>
    </row>
    <row r="22" spans="1:18" x14ac:dyDescent="0.2">
      <c r="A22" s="76" t="s">
        <v>27</v>
      </c>
      <c r="B22" s="93">
        <v>17138</v>
      </c>
      <c r="C22" s="92">
        <v>59</v>
      </c>
      <c r="D22" s="95">
        <v>3.4426420819232114E-3</v>
      </c>
      <c r="E22" s="92">
        <v>472</v>
      </c>
      <c r="F22" s="95">
        <v>2.7541136655385691E-2</v>
      </c>
      <c r="G22" s="92">
        <v>721</v>
      </c>
      <c r="H22" s="95">
        <v>4.2070253238417551E-2</v>
      </c>
      <c r="I22" s="92">
        <v>318</v>
      </c>
      <c r="J22" s="95">
        <v>1.8555257322908157E-2</v>
      </c>
      <c r="K22" s="92">
        <v>1767</v>
      </c>
      <c r="L22" s="95">
        <v>0.10310421286031042</v>
      </c>
      <c r="M22" s="92">
        <v>510</v>
      </c>
      <c r="N22" s="95">
        <v>2.9758431555607423E-2</v>
      </c>
      <c r="O22" s="92">
        <v>529</v>
      </c>
      <c r="P22" s="94">
        <v>3.0867079005718286E-2</v>
      </c>
      <c r="Q22" s="97"/>
      <c r="R22" s="24"/>
    </row>
    <row r="23" spans="1:18" x14ac:dyDescent="0.2">
      <c r="A23" s="76" t="s">
        <v>28</v>
      </c>
      <c r="B23" s="93">
        <v>23416</v>
      </c>
      <c r="C23" s="92">
        <v>37</v>
      </c>
      <c r="D23" s="95">
        <v>1.5801161598906731E-3</v>
      </c>
      <c r="E23" s="92">
        <v>705</v>
      </c>
      <c r="F23" s="95">
        <v>3.0107618722241204E-2</v>
      </c>
      <c r="G23" s="92">
        <v>794</v>
      </c>
      <c r="H23" s="95">
        <v>3.3908438674410658E-2</v>
      </c>
      <c r="I23" s="92">
        <v>162</v>
      </c>
      <c r="J23" s="95">
        <v>6.9183464297915952E-3</v>
      </c>
      <c r="K23" s="92">
        <v>2401</v>
      </c>
      <c r="L23" s="95">
        <v>0.10253672702425692</v>
      </c>
      <c r="M23" s="92">
        <v>1499</v>
      </c>
      <c r="N23" s="95">
        <v>6.4016057396651865E-2</v>
      </c>
      <c r="O23" s="92">
        <v>305</v>
      </c>
      <c r="P23" s="94">
        <v>1.302528185855825E-2</v>
      </c>
      <c r="Q23" s="97"/>
      <c r="R23" s="24"/>
    </row>
    <row r="24" spans="1:18" x14ac:dyDescent="0.2">
      <c r="A24" s="76" t="s">
        <v>29</v>
      </c>
      <c r="B24" s="93">
        <v>24588</v>
      </c>
      <c r="C24" s="92">
        <v>23</v>
      </c>
      <c r="D24" s="95">
        <v>9.3541564991052545E-4</v>
      </c>
      <c r="E24" s="92">
        <v>783</v>
      </c>
      <c r="F24" s="95">
        <v>3.184480234260615E-2</v>
      </c>
      <c r="G24" s="92">
        <v>1054</v>
      </c>
      <c r="H24" s="95">
        <v>4.2866438913291033E-2</v>
      </c>
      <c r="I24" s="92">
        <v>433</v>
      </c>
      <c r="J24" s="95">
        <v>1.7610216365706848E-2</v>
      </c>
      <c r="K24" s="92">
        <v>1572</v>
      </c>
      <c r="L24" s="95">
        <v>6.3933626159102003E-2</v>
      </c>
      <c r="M24" s="92">
        <v>585</v>
      </c>
      <c r="N24" s="95">
        <v>2.3792093704245974E-2</v>
      </c>
      <c r="O24" s="92">
        <v>696</v>
      </c>
      <c r="P24" s="94">
        <v>2.8306490971205467E-2</v>
      </c>
      <c r="Q24" s="97"/>
      <c r="R24" s="24"/>
    </row>
    <row r="25" spans="1:18" x14ac:dyDescent="0.2">
      <c r="A25" s="76" t="s">
        <v>30</v>
      </c>
      <c r="B25" s="93">
        <v>3368</v>
      </c>
      <c r="C25" s="92">
        <v>0</v>
      </c>
      <c r="D25" s="95">
        <v>0</v>
      </c>
      <c r="E25" s="92">
        <v>99</v>
      </c>
      <c r="F25" s="95">
        <v>2.9394299287410927E-2</v>
      </c>
      <c r="G25" s="92">
        <v>287</v>
      </c>
      <c r="H25" s="95">
        <v>8.5213776722090268E-2</v>
      </c>
      <c r="I25" s="92">
        <v>69</v>
      </c>
      <c r="J25" s="95">
        <v>2.0486935866983372E-2</v>
      </c>
      <c r="K25" s="92">
        <v>106</v>
      </c>
      <c r="L25" s="95">
        <v>3.147268408551069E-2</v>
      </c>
      <c r="M25" s="92">
        <v>104</v>
      </c>
      <c r="N25" s="95">
        <v>3.0878859857482184E-2</v>
      </c>
      <c r="O25" s="92">
        <v>104</v>
      </c>
      <c r="P25" s="94">
        <v>3.0878859857482184E-2</v>
      </c>
      <c r="Q25" s="97"/>
      <c r="R25" s="24"/>
    </row>
    <row r="26" spans="1:18" x14ac:dyDescent="0.2">
      <c r="A26" s="76" t="s">
        <v>49</v>
      </c>
      <c r="B26" s="93">
        <v>19493</v>
      </c>
      <c r="C26" s="92">
        <v>6</v>
      </c>
      <c r="D26" s="95">
        <v>3.0780280100548913E-4</v>
      </c>
      <c r="E26" s="92">
        <v>279</v>
      </c>
      <c r="F26" s="95">
        <v>1.4312830246755245E-2</v>
      </c>
      <c r="G26" s="92">
        <v>870</v>
      </c>
      <c r="H26" s="95">
        <v>4.4631406145795929E-2</v>
      </c>
      <c r="I26" s="92">
        <v>260</v>
      </c>
      <c r="J26" s="95">
        <v>1.333812137690453E-2</v>
      </c>
      <c r="K26" s="92">
        <v>1494</v>
      </c>
      <c r="L26" s="95">
        <v>7.6642897450366801E-2</v>
      </c>
      <c r="M26" s="92">
        <v>333</v>
      </c>
      <c r="N26" s="95">
        <v>1.7083055455804647E-2</v>
      </c>
      <c r="O26" s="92">
        <v>598</v>
      </c>
      <c r="P26" s="94">
        <v>3.0677679166880419E-2</v>
      </c>
      <c r="Q26" s="97"/>
      <c r="R26" s="24"/>
    </row>
    <row r="27" spans="1:18" x14ac:dyDescent="0.2">
      <c r="A27" s="76" t="s">
        <v>50</v>
      </c>
      <c r="B27" s="93">
        <v>3914</v>
      </c>
      <c r="C27" s="92">
        <v>0</v>
      </c>
      <c r="D27" s="95">
        <v>0</v>
      </c>
      <c r="E27" s="92">
        <v>51</v>
      </c>
      <c r="F27" s="95">
        <v>1.3030148185998978E-2</v>
      </c>
      <c r="G27" s="92">
        <v>226</v>
      </c>
      <c r="H27" s="95">
        <v>5.774144098109351E-2</v>
      </c>
      <c r="I27" s="92">
        <v>70</v>
      </c>
      <c r="J27" s="95">
        <v>1.7884517118037811E-2</v>
      </c>
      <c r="K27" s="92">
        <v>200</v>
      </c>
      <c r="L27" s="95">
        <v>5.1098620337250891E-2</v>
      </c>
      <c r="M27" s="92">
        <v>28</v>
      </c>
      <c r="N27" s="95">
        <v>7.1538068472151248E-3</v>
      </c>
      <c r="O27" s="92">
        <v>44</v>
      </c>
      <c r="P27" s="94">
        <v>1.1241696474195196E-2</v>
      </c>
      <c r="Q27" s="97"/>
      <c r="R27" s="24"/>
    </row>
    <row r="28" spans="1:18" x14ac:dyDescent="0.2">
      <c r="A28" s="76" t="s">
        <v>33</v>
      </c>
      <c r="B28" s="93">
        <v>18188</v>
      </c>
      <c r="C28" s="92">
        <v>35</v>
      </c>
      <c r="D28" s="95">
        <v>1.9243457224543655E-3</v>
      </c>
      <c r="E28" s="92">
        <v>801</v>
      </c>
      <c r="F28" s="95">
        <v>4.4040026391027054E-2</v>
      </c>
      <c r="G28" s="92">
        <v>755</v>
      </c>
      <c r="H28" s="95">
        <v>4.1510886298658456E-2</v>
      </c>
      <c r="I28" s="92">
        <v>274</v>
      </c>
      <c r="J28" s="95">
        <v>1.5064877941499889E-2</v>
      </c>
      <c r="K28" s="92">
        <v>1552</v>
      </c>
      <c r="L28" s="95">
        <v>8.5330987464262154E-2</v>
      </c>
      <c r="M28" s="92">
        <v>1004</v>
      </c>
      <c r="N28" s="95">
        <v>5.5201231581262368E-2</v>
      </c>
      <c r="O28" s="92">
        <v>316</v>
      </c>
      <c r="P28" s="94">
        <v>1.7374092808445128E-2</v>
      </c>
      <c r="Q28" s="97"/>
      <c r="R28" s="24"/>
    </row>
    <row r="29" spans="1:18" x14ac:dyDescent="0.2">
      <c r="A29" s="31"/>
      <c r="B29" s="44"/>
      <c r="C29" s="44"/>
      <c r="D29" s="35"/>
      <c r="E29" s="44"/>
      <c r="F29" s="35"/>
      <c r="G29" s="44"/>
      <c r="H29" s="35"/>
      <c r="I29" s="44"/>
      <c r="J29" s="35"/>
      <c r="K29" s="44"/>
      <c r="L29" s="35"/>
      <c r="M29" s="44"/>
      <c r="N29" s="35"/>
      <c r="O29" s="44"/>
      <c r="P29" s="35"/>
    </row>
    <row r="30" spans="1:18" ht="19" x14ac:dyDescent="0.25">
      <c r="A30" s="38" t="s">
        <v>178</v>
      </c>
    </row>
    <row r="32" spans="1:18" ht="80" x14ac:dyDescent="0.2">
      <c r="A32" s="120"/>
      <c r="B32" s="120" t="s">
        <v>161</v>
      </c>
      <c r="C32" s="121" t="s">
        <v>179</v>
      </c>
      <c r="D32" s="45" t="s">
        <v>3</v>
      </c>
      <c r="E32" s="121" t="s">
        <v>180</v>
      </c>
      <c r="F32" s="122" t="s">
        <v>3</v>
      </c>
      <c r="G32" s="121" t="s">
        <v>181</v>
      </c>
      <c r="H32" s="122" t="s">
        <v>3</v>
      </c>
      <c r="I32" s="121" t="s">
        <v>182</v>
      </c>
      <c r="J32" s="122" t="s">
        <v>3</v>
      </c>
      <c r="K32" s="121" t="s">
        <v>183</v>
      </c>
      <c r="L32" s="122" t="s">
        <v>3</v>
      </c>
      <c r="M32" s="121" t="s">
        <v>184</v>
      </c>
      <c r="N32" s="122" t="s">
        <v>3</v>
      </c>
    </row>
    <row r="33" spans="1:16" x14ac:dyDescent="0.2">
      <c r="A33" s="25" t="s">
        <v>44</v>
      </c>
      <c r="B33" s="75">
        <v>154842185</v>
      </c>
      <c r="C33" s="92">
        <v>10151206</v>
      </c>
      <c r="D33" s="95">
        <v>6.5558400638688993E-2</v>
      </c>
      <c r="E33" s="92">
        <v>17924655</v>
      </c>
      <c r="F33" s="100">
        <v>0.11576079864799117</v>
      </c>
      <c r="G33" s="92">
        <v>35840954</v>
      </c>
      <c r="H33" s="100">
        <v>0.23146763267387371</v>
      </c>
      <c r="I33" s="92">
        <v>14962299</v>
      </c>
      <c r="J33" s="100">
        <v>9.6629345549470252E-2</v>
      </c>
      <c r="K33" s="92">
        <v>7522777</v>
      </c>
      <c r="L33" s="100">
        <v>4.8583511011550243E-2</v>
      </c>
      <c r="M33" s="92">
        <v>7134146</v>
      </c>
      <c r="N33" s="18">
        <v>4.6073658802993515E-2</v>
      </c>
    </row>
    <row r="34" spans="1:16" x14ac:dyDescent="0.2">
      <c r="A34" s="25" t="s">
        <v>10</v>
      </c>
      <c r="B34" s="98">
        <v>2548292</v>
      </c>
      <c r="C34" s="107">
        <v>182356</v>
      </c>
      <c r="D34" s="95">
        <v>7.1560088090375826E-2</v>
      </c>
      <c r="E34" s="107">
        <v>358716</v>
      </c>
      <c r="F34" s="100">
        <v>0.14076722761755717</v>
      </c>
      <c r="G34" s="107">
        <v>737256</v>
      </c>
      <c r="H34" s="100">
        <v>0.28931378350675668</v>
      </c>
      <c r="I34" s="107">
        <v>233778</v>
      </c>
      <c r="J34" s="100">
        <v>9.1739094263922655E-2</v>
      </c>
      <c r="K34" s="107">
        <v>117425</v>
      </c>
      <c r="L34" s="100">
        <v>4.6079884094915341E-2</v>
      </c>
      <c r="M34" s="107">
        <v>93114</v>
      </c>
      <c r="N34" s="18">
        <v>3.6539768597947171E-2</v>
      </c>
    </row>
    <row r="35" spans="1:16" x14ac:dyDescent="0.2">
      <c r="A35" s="25" t="s">
        <v>11</v>
      </c>
      <c r="B35" s="91">
        <v>381583</v>
      </c>
      <c r="C35" s="99">
        <v>34068</v>
      </c>
      <c r="D35" s="18">
        <v>8.9280706949733085E-2</v>
      </c>
      <c r="E35" s="99">
        <v>67061</v>
      </c>
      <c r="F35" s="18">
        <v>0.17574420244088443</v>
      </c>
      <c r="G35" s="99">
        <v>119275</v>
      </c>
      <c r="H35" s="18">
        <v>0.31257943881147743</v>
      </c>
      <c r="I35" s="99">
        <v>39655</v>
      </c>
      <c r="J35" s="18">
        <v>0.10392234454889238</v>
      </c>
      <c r="K35" s="99">
        <v>16715</v>
      </c>
      <c r="L35" s="18">
        <v>4.3804362353668795E-2</v>
      </c>
      <c r="M35" s="99">
        <v>14890</v>
      </c>
      <c r="N35" s="18">
        <v>3.902165452863466E-2</v>
      </c>
    </row>
    <row r="36" spans="1:16" x14ac:dyDescent="0.2">
      <c r="A36" s="76" t="s">
        <v>12</v>
      </c>
      <c r="B36" s="93">
        <v>10708</v>
      </c>
      <c r="C36" s="92">
        <v>635</v>
      </c>
      <c r="D36" s="95">
        <v>5.9301456854688087E-2</v>
      </c>
      <c r="E36" s="92">
        <v>1998</v>
      </c>
      <c r="F36" s="95">
        <v>0.1865894658199477</v>
      </c>
      <c r="G36" s="92">
        <v>4468</v>
      </c>
      <c r="H36" s="95">
        <v>0.41725812476652968</v>
      </c>
      <c r="I36" s="92">
        <v>1281</v>
      </c>
      <c r="J36" s="95">
        <v>0.11963018304071722</v>
      </c>
      <c r="K36" s="96">
        <v>128</v>
      </c>
      <c r="L36" s="95">
        <v>1.1953679491968622E-2</v>
      </c>
      <c r="M36" s="92">
        <v>135</v>
      </c>
      <c r="N36" s="94">
        <v>1.2607396339185655E-2</v>
      </c>
      <c r="O36" s="97"/>
      <c r="P36" s="97"/>
    </row>
    <row r="37" spans="1:16" x14ac:dyDescent="0.2">
      <c r="A37" s="76" t="s">
        <v>45</v>
      </c>
      <c r="B37" s="93">
        <v>11226</v>
      </c>
      <c r="C37" s="92">
        <v>2090</v>
      </c>
      <c r="D37" s="95">
        <v>0.18617495100659184</v>
      </c>
      <c r="E37" s="92">
        <v>2975</v>
      </c>
      <c r="F37" s="95">
        <v>0.26500979868163194</v>
      </c>
      <c r="G37" s="92">
        <v>2988</v>
      </c>
      <c r="H37" s="95">
        <v>0.26616782469267769</v>
      </c>
      <c r="I37" s="92">
        <v>563</v>
      </c>
      <c r="J37" s="95">
        <v>5.0151434170675219E-2</v>
      </c>
      <c r="K37" s="96">
        <v>346</v>
      </c>
      <c r="L37" s="95">
        <v>3.0821307678603242E-2</v>
      </c>
      <c r="M37" s="92">
        <v>95</v>
      </c>
      <c r="N37" s="94">
        <v>8.4624977730269023E-3</v>
      </c>
      <c r="O37" s="97"/>
      <c r="P37" s="97"/>
    </row>
    <row r="38" spans="1:16" x14ac:dyDescent="0.2">
      <c r="A38" s="76" t="s">
        <v>46</v>
      </c>
      <c r="B38" s="93">
        <v>6836</v>
      </c>
      <c r="C38" s="92">
        <v>1069</v>
      </c>
      <c r="D38" s="95">
        <v>0.15637799882972497</v>
      </c>
      <c r="E38" s="92">
        <v>2288</v>
      </c>
      <c r="F38" s="95">
        <v>0.33469865418373318</v>
      </c>
      <c r="G38" s="92">
        <v>1801</v>
      </c>
      <c r="H38" s="95">
        <v>0.26345816266822703</v>
      </c>
      <c r="I38" s="92">
        <v>297</v>
      </c>
      <c r="J38" s="95">
        <v>4.344645991808075E-2</v>
      </c>
      <c r="K38" s="96">
        <v>112</v>
      </c>
      <c r="L38" s="95">
        <v>1.6383850204798128E-2</v>
      </c>
      <c r="M38" s="92">
        <v>147</v>
      </c>
      <c r="N38" s="94">
        <v>2.1503803393797542E-2</v>
      </c>
      <c r="O38" s="97"/>
      <c r="P38" s="97"/>
    </row>
    <row r="39" spans="1:16" x14ac:dyDescent="0.2">
      <c r="A39" s="76" t="s">
        <v>15</v>
      </c>
      <c r="B39" s="93">
        <v>36173</v>
      </c>
      <c r="C39" s="92">
        <v>2309</v>
      </c>
      <c r="D39" s="95">
        <v>6.3832139993918111E-2</v>
      </c>
      <c r="E39" s="92">
        <v>7227</v>
      </c>
      <c r="F39" s="95">
        <v>0.19978989854311227</v>
      </c>
      <c r="G39" s="92">
        <v>12730</v>
      </c>
      <c r="H39" s="95">
        <v>0.35191994028695434</v>
      </c>
      <c r="I39" s="92">
        <v>3698</v>
      </c>
      <c r="J39" s="95">
        <v>0.10223094573300529</v>
      </c>
      <c r="K39" s="96">
        <v>1564</v>
      </c>
      <c r="L39" s="95">
        <v>4.3236668233212615E-2</v>
      </c>
      <c r="M39" s="92">
        <v>723</v>
      </c>
      <c r="N39" s="94">
        <v>1.9987283332872585E-2</v>
      </c>
      <c r="O39" s="97"/>
      <c r="P39" s="97"/>
    </row>
    <row r="40" spans="1:16" x14ac:dyDescent="0.2">
      <c r="A40" s="76" t="s">
        <v>16</v>
      </c>
      <c r="B40" s="93">
        <v>11878</v>
      </c>
      <c r="C40" s="92">
        <v>1847</v>
      </c>
      <c r="D40" s="95">
        <v>0.15549755851153393</v>
      </c>
      <c r="E40" s="92">
        <v>2917</v>
      </c>
      <c r="F40" s="95">
        <v>0.24558006398383567</v>
      </c>
      <c r="G40" s="92">
        <v>2932</v>
      </c>
      <c r="H40" s="95">
        <v>0.2468429028455969</v>
      </c>
      <c r="I40" s="92">
        <v>760</v>
      </c>
      <c r="J40" s="95">
        <v>6.398383566256946E-2</v>
      </c>
      <c r="K40" s="96">
        <v>411</v>
      </c>
      <c r="L40" s="95">
        <v>3.4601784812257959E-2</v>
      </c>
      <c r="M40" s="92">
        <v>454</v>
      </c>
      <c r="N40" s="94">
        <v>3.8221922882640175E-2</v>
      </c>
      <c r="O40" s="97"/>
      <c r="P40" s="97"/>
    </row>
    <row r="41" spans="1:16" x14ac:dyDescent="0.2">
      <c r="A41" s="76" t="s">
        <v>17</v>
      </c>
      <c r="B41" s="93">
        <v>64516</v>
      </c>
      <c r="C41" s="92">
        <v>4484</v>
      </c>
      <c r="D41" s="95">
        <v>6.9502139004278013E-2</v>
      </c>
      <c r="E41" s="92">
        <v>7885</v>
      </c>
      <c r="F41" s="95">
        <v>0.12221774443548887</v>
      </c>
      <c r="G41" s="92">
        <v>19460</v>
      </c>
      <c r="H41" s="95">
        <v>0.3016306032612065</v>
      </c>
      <c r="I41" s="92">
        <v>6576</v>
      </c>
      <c r="J41" s="95">
        <v>0.10192820385640772</v>
      </c>
      <c r="K41" s="96">
        <v>4155</v>
      </c>
      <c r="L41" s="95">
        <v>6.4402628805257614E-2</v>
      </c>
      <c r="M41" s="92">
        <v>3404</v>
      </c>
      <c r="N41" s="94">
        <v>5.2762105524211046E-2</v>
      </c>
      <c r="O41" s="97"/>
      <c r="P41" s="97"/>
    </row>
    <row r="42" spans="1:16" x14ac:dyDescent="0.2">
      <c r="A42" s="76" t="s">
        <v>18</v>
      </c>
      <c r="B42" s="93">
        <v>9674</v>
      </c>
      <c r="C42" s="92">
        <v>1985</v>
      </c>
      <c r="D42" s="95">
        <v>0.20518916683894975</v>
      </c>
      <c r="E42" s="92">
        <v>2002</v>
      </c>
      <c r="F42" s="95">
        <v>0.20694645441389292</v>
      </c>
      <c r="G42" s="92">
        <v>2264</v>
      </c>
      <c r="H42" s="95">
        <v>0.2340293570394873</v>
      </c>
      <c r="I42" s="92">
        <v>1278</v>
      </c>
      <c r="J42" s="95">
        <v>0.13210667769278478</v>
      </c>
      <c r="K42" s="96">
        <v>276</v>
      </c>
      <c r="L42" s="95">
        <v>2.8530080628488733E-2</v>
      </c>
      <c r="M42" s="92">
        <v>140</v>
      </c>
      <c r="N42" s="94">
        <v>1.4471780028943559E-2</v>
      </c>
      <c r="O42" s="97"/>
      <c r="P42" s="97"/>
    </row>
    <row r="43" spans="1:16" x14ac:dyDescent="0.2">
      <c r="A43" s="76" t="s">
        <v>19</v>
      </c>
      <c r="B43" s="93">
        <v>27653</v>
      </c>
      <c r="C43" s="92">
        <v>1520</v>
      </c>
      <c r="D43" s="95">
        <v>5.4966911365855423E-2</v>
      </c>
      <c r="E43" s="92">
        <v>4384</v>
      </c>
      <c r="F43" s="95">
        <v>0.15853614436046723</v>
      </c>
      <c r="G43" s="92">
        <v>4373</v>
      </c>
      <c r="H43" s="95">
        <v>0.15813835750189853</v>
      </c>
      <c r="I43" s="92">
        <v>7265</v>
      </c>
      <c r="J43" s="95">
        <v>0.2627201388637761</v>
      </c>
      <c r="K43" s="96">
        <v>1277</v>
      </c>
      <c r="L43" s="95">
        <v>4.6179438035656169E-2</v>
      </c>
      <c r="M43" s="92">
        <v>956</v>
      </c>
      <c r="N43" s="94">
        <v>3.4571294253788014E-2</v>
      </c>
      <c r="O43" s="97"/>
      <c r="P43" s="97"/>
    </row>
    <row r="44" spans="1:16" x14ac:dyDescent="0.2">
      <c r="A44" s="76" t="s">
        <v>20</v>
      </c>
      <c r="B44" s="93">
        <v>16880</v>
      </c>
      <c r="C44" s="92">
        <v>1136</v>
      </c>
      <c r="D44" s="95">
        <v>6.7298578199052134E-2</v>
      </c>
      <c r="E44" s="92">
        <v>2742</v>
      </c>
      <c r="F44" s="95">
        <v>0.16244075829383886</v>
      </c>
      <c r="G44" s="92">
        <v>7227</v>
      </c>
      <c r="H44" s="95">
        <v>0.42813981042654026</v>
      </c>
      <c r="I44" s="92">
        <v>1907</v>
      </c>
      <c r="J44" s="95">
        <v>0.11297393364928909</v>
      </c>
      <c r="K44" s="96">
        <v>510</v>
      </c>
      <c r="L44" s="95">
        <v>3.0213270142180094E-2</v>
      </c>
      <c r="M44" s="92">
        <v>218</v>
      </c>
      <c r="N44" s="94">
        <v>1.2914691943127962E-2</v>
      </c>
      <c r="O44" s="97"/>
      <c r="P44" s="97"/>
    </row>
    <row r="45" spans="1:16" x14ac:dyDescent="0.2">
      <c r="A45" s="76" t="s">
        <v>21</v>
      </c>
      <c r="B45" s="93">
        <v>20214</v>
      </c>
      <c r="C45" s="92">
        <v>1308</v>
      </c>
      <c r="D45" s="95">
        <v>6.4707628376372811E-2</v>
      </c>
      <c r="E45" s="92">
        <v>1934</v>
      </c>
      <c r="F45" s="95">
        <v>9.5676263975462555E-2</v>
      </c>
      <c r="G45" s="92">
        <v>7311</v>
      </c>
      <c r="H45" s="95">
        <v>0.36168002374591868</v>
      </c>
      <c r="I45" s="92">
        <v>1537</v>
      </c>
      <c r="J45" s="95">
        <v>7.6036410408627686E-2</v>
      </c>
      <c r="K45" s="96">
        <v>821</v>
      </c>
      <c r="L45" s="95">
        <v>4.0615415058870091E-2</v>
      </c>
      <c r="M45" s="92">
        <v>1759</v>
      </c>
      <c r="N45" s="94">
        <v>8.7018897793608385E-2</v>
      </c>
      <c r="O45" s="97"/>
      <c r="P45" s="97"/>
    </row>
    <row r="46" spans="1:16" x14ac:dyDescent="0.2">
      <c r="A46" s="76" t="s">
        <v>22</v>
      </c>
      <c r="B46" s="93">
        <v>24713</v>
      </c>
      <c r="C46" s="92">
        <v>1135</v>
      </c>
      <c r="D46" s="95">
        <v>4.592724476995913E-2</v>
      </c>
      <c r="E46" s="92">
        <v>4606</v>
      </c>
      <c r="F46" s="95">
        <v>0.18637963824707643</v>
      </c>
      <c r="G46" s="92">
        <v>9910</v>
      </c>
      <c r="H46" s="95">
        <v>0.40100352041435683</v>
      </c>
      <c r="I46" s="92">
        <v>2217</v>
      </c>
      <c r="J46" s="95">
        <v>8.9709869299558931E-2</v>
      </c>
      <c r="K46" s="96">
        <v>1288</v>
      </c>
      <c r="L46" s="95">
        <v>5.2118318294015295E-2</v>
      </c>
      <c r="M46" s="92">
        <v>840</v>
      </c>
      <c r="N46" s="94">
        <v>3.3990207583053454E-2</v>
      </c>
      <c r="O46" s="97"/>
      <c r="P46" s="97"/>
    </row>
    <row r="47" spans="1:16" x14ac:dyDescent="0.2">
      <c r="A47" s="76" t="s">
        <v>23</v>
      </c>
      <c r="B47" s="93">
        <v>2484</v>
      </c>
      <c r="C47" s="92">
        <v>26</v>
      </c>
      <c r="D47" s="95">
        <v>1.0466988727858293E-2</v>
      </c>
      <c r="E47" s="92">
        <v>208</v>
      </c>
      <c r="F47" s="95">
        <v>8.3735909822866342E-2</v>
      </c>
      <c r="G47" s="92">
        <v>1188</v>
      </c>
      <c r="H47" s="95">
        <v>0.47826086956521741</v>
      </c>
      <c r="I47" s="92">
        <v>556</v>
      </c>
      <c r="J47" s="95">
        <v>0.22383252818035426</v>
      </c>
      <c r="K47" s="96">
        <v>56</v>
      </c>
      <c r="L47" s="95">
        <v>2.2544283413848631E-2</v>
      </c>
      <c r="M47" s="92">
        <v>10</v>
      </c>
      <c r="N47" s="94">
        <v>4.0257648953301124E-3</v>
      </c>
      <c r="O47" s="97"/>
      <c r="P47" s="97"/>
    </row>
    <row r="48" spans="1:16" x14ac:dyDescent="0.2">
      <c r="A48" s="76" t="s">
        <v>24</v>
      </c>
      <c r="B48" s="93">
        <v>13005</v>
      </c>
      <c r="C48" s="92">
        <v>827</v>
      </c>
      <c r="D48" s="95">
        <v>6.3590926566705119E-2</v>
      </c>
      <c r="E48" s="92">
        <v>1159</v>
      </c>
      <c r="F48" s="95">
        <v>8.9119569396386003E-2</v>
      </c>
      <c r="G48" s="92">
        <v>4607</v>
      </c>
      <c r="H48" s="95">
        <v>0.35424836601307191</v>
      </c>
      <c r="I48" s="92">
        <v>1083</v>
      </c>
      <c r="J48" s="95">
        <v>8.3275663206459058E-2</v>
      </c>
      <c r="K48" s="96">
        <v>665</v>
      </c>
      <c r="L48" s="95">
        <v>5.1134179161860825E-2</v>
      </c>
      <c r="M48" s="92">
        <v>912</v>
      </c>
      <c r="N48" s="94">
        <v>7.0126874279123411E-2</v>
      </c>
      <c r="O48" s="97"/>
      <c r="P48" s="97"/>
    </row>
    <row r="49" spans="1:16" x14ac:dyDescent="0.2">
      <c r="A49" s="76" t="s">
        <v>47</v>
      </c>
      <c r="B49" s="93">
        <v>8631</v>
      </c>
      <c r="C49" s="92">
        <v>500</v>
      </c>
      <c r="D49" s="95">
        <v>5.7930714865021438E-2</v>
      </c>
      <c r="E49" s="92">
        <v>1450</v>
      </c>
      <c r="F49" s="95">
        <v>0.16799907310856216</v>
      </c>
      <c r="G49" s="92">
        <v>3242</v>
      </c>
      <c r="H49" s="95">
        <v>0.37562275518479898</v>
      </c>
      <c r="I49" s="92">
        <v>1339</v>
      </c>
      <c r="J49" s="95">
        <v>0.15513845440852739</v>
      </c>
      <c r="K49" s="96">
        <v>278</v>
      </c>
      <c r="L49" s="95">
        <v>3.2209477464951917E-2</v>
      </c>
      <c r="M49" s="92">
        <v>232</v>
      </c>
      <c r="N49" s="94">
        <v>2.6879851697369946E-2</v>
      </c>
      <c r="O49" s="97"/>
      <c r="P49" s="97"/>
    </row>
    <row r="50" spans="1:16" x14ac:dyDescent="0.2">
      <c r="A50" s="76" t="s">
        <v>48</v>
      </c>
      <c r="B50" s="93">
        <v>6887</v>
      </c>
      <c r="C50" s="92">
        <v>1617</v>
      </c>
      <c r="D50" s="95">
        <v>0.23479018440540148</v>
      </c>
      <c r="E50" s="92">
        <v>1879</v>
      </c>
      <c r="F50" s="95">
        <v>0.27283287352983882</v>
      </c>
      <c r="G50" s="92">
        <v>1088</v>
      </c>
      <c r="H50" s="95">
        <v>0.15797880063888486</v>
      </c>
      <c r="I50" s="92">
        <v>544</v>
      </c>
      <c r="J50" s="95">
        <v>7.8989400319442432E-2</v>
      </c>
      <c r="K50" s="96">
        <v>229</v>
      </c>
      <c r="L50" s="95">
        <v>3.3251052708000578E-2</v>
      </c>
      <c r="M50" s="92">
        <v>176</v>
      </c>
      <c r="N50" s="94">
        <v>2.5555394220996081E-2</v>
      </c>
      <c r="O50" s="97"/>
      <c r="P50" s="97"/>
    </row>
    <row r="51" spans="1:16" x14ac:dyDescent="0.2">
      <c r="A51" s="76" t="s">
        <v>27</v>
      </c>
      <c r="B51" s="93">
        <v>17138</v>
      </c>
      <c r="C51" s="92">
        <v>1315</v>
      </c>
      <c r="D51" s="95">
        <v>7.6730073520830902E-2</v>
      </c>
      <c r="E51" s="92">
        <v>2004</v>
      </c>
      <c r="F51" s="95">
        <v>0.11693313105379857</v>
      </c>
      <c r="G51" s="92">
        <v>5943</v>
      </c>
      <c r="H51" s="95">
        <v>0.34677325242151941</v>
      </c>
      <c r="I51" s="92">
        <v>1635</v>
      </c>
      <c r="J51" s="95">
        <v>9.5402030575329672E-2</v>
      </c>
      <c r="K51" s="96">
        <v>913</v>
      </c>
      <c r="L51" s="95">
        <v>5.3273427471116817E-2</v>
      </c>
      <c r="M51" s="92">
        <v>952</v>
      </c>
      <c r="N51" s="94">
        <v>5.5549072237133852E-2</v>
      </c>
      <c r="O51" s="97"/>
      <c r="P51" s="97"/>
    </row>
    <row r="52" spans="1:16" x14ac:dyDescent="0.2">
      <c r="A52" s="76" t="s">
        <v>28</v>
      </c>
      <c r="B52" s="93">
        <v>23416</v>
      </c>
      <c r="C52" s="92">
        <v>1682</v>
      </c>
      <c r="D52" s="95">
        <v>7.1831226511786819E-2</v>
      </c>
      <c r="E52" s="92">
        <v>3202</v>
      </c>
      <c r="F52" s="95">
        <v>0.13674410659378203</v>
      </c>
      <c r="G52" s="92">
        <v>7664</v>
      </c>
      <c r="H52" s="95">
        <v>0.32729757430816536</v>
      </c>
      <c r="I52" s="92">
        <v>2519</v>
      </c>
      <c r="J52" s="95">
        <v>0.10757601639904339</v>
      </c>
      <c r="K52" s="96">
        <v>1299</v>
      </c>
      <c r="L52" s="95">
        <v>5.5474888964810384E-2</v>
      </c>
      <c r="M52" s="92">
        <v>1147</v>
      </c>
      <c r="N52" s="94">
        <v>4.8983600956610862E-2</v>
      </c>
      <c r="O52" s="97"/>
      <c r="P52" s="97"/>
    </row>
    <row r="53" spans="1:16" x14ac:dyDescent="0.2">
      <c r="A53" s="76" t="s">
        <v>29</v>
      </c>
      <c r="B53" s="93">
        <v>24588</v>
      </c>
      <c r="C53" s="92">
        <v>3825</v>
      </c>
      <c r="D53" s="95">
        <v>0.15556368960468522</v>
      </c>
      <c r="E53" s="92">
        <v>6620</v>
      </c>
      <c r="F53" s="95">
        <v>0.2692370261916382</v>
      </c>
      <c r="G53" s="92">
        <v>5578</v>
      </c>
      <c r="H53" s="95">
        <v>0.22685863022612657</v>
      </c>
      <c r="I53" s="92">
        <v>1696</v>
      </c>
      <c r="J53" s="95">
        <v>6.8976736619489179E-2</v>
      </c>
      <c r="K53" s="96">
        <v>675</v>
      </c>
      <c r="L53" s="95">
        <v>2.7452415812591509E-2</v>
      </c>
      <c r="M53" s="92">
        <v>1048</v>
      </c>
      <c r="N53" s="94">
        <v>4.2622417439401331E-2</v>
      </c>
      <c r="O53" s="97"/>
      <c r="P53" s="97"/>
    </row>
    <row r="54" spans="1:16" x14ac:dyDescent="0.2">
      <c r="A54" s="76" t="s">
        <v>30</v>
      </c>
      <c r="B54" s="93">
        <v>3368</v>
      </c>
      <c r="C54" s="92">
        <v>689</v>
      </c>
      <c r="D54" s="95">
        <v>0.20457244655581946</v>
      </c>
      <c r="E54" s="92">
        <v>1109</v>
      </c>
      <c r="F54" s="95">
        <v>0.32927553444180524</v>
      </c>
      <c r="G54" s="92">
        <v>550</v>
      </c>
      <c r="H54" s="95">
        <v>0.16330166270783847</v>
      </c>
      <c r="I54" s="92">
        <v>101</v>
      </c>
      <c r="J54" s="95">
        <v>2.9988123515439429E-2</v>
      </c>
      <c r="K54" s="96">
        <v>53</v>
      </c>
      <c r="L54" s="95">
        <v>1.5736342042755345E-2</v>
      </c>
      <c r="M54" s="92">
        <v>97</v>
      </c>
      <c r="N54" s="94">
        <v>2.8800475059382422E-2</v>
      </c>
      <c r="O54" s="97"/>
      <c r="P54" s="97"/>
    </row>
    <row r="55" spans="1:16" x14ac:dyDescent="0.2">
      <c r="A55" s="76" t="s">
        <v>49</v>
      </c>
      <c r="B55" s="93">
        <v>19493</v>
      </c>
      <c r="C55" s="92">
        <v>2492</v>
      </c>
      <c r="D55" s="95">
        <v>0.12784076335094649</v>
      </c>
      <c r="E55" s="92">
        <v>4363</v>
      </c>
      <c r="F55" s="95">
        <v>0.22382393679782486</v>
      </c>
      <c r="G55" s="92">
        <v>6019</v>
      </c>
      <c r="H55" s="95">
        <v>0.30877750987533986</v>
      </c>
      <c r="I55" s="92">
        <v>1545</v>
      </c>
      <c r="J55" s="95">
        <v>7.9259221258913451E-2</v>
      </c>
      <c r="K55" s="96">
        <v>736</v>
      </c>
      <c r="L55" s="95">
        <v>3.7757143590006668E-2</v>
      </c>
      <c r="M55" s="92">
        <v>498</v>
      </c>
      <c r="N55" s="94">
        <v>2.5547632483455599E-2</v>
      </c>
      <c r="O55" s="97"/>
      <c r="P55" s="97"/>
    </row>
    <row r="56" spans="1:16" x14ac:dyDescent="0.2">
      <c r="A56" s="76" t="s">
        <v>50</v>
      </c>
      <c r="B56" s="93">
        <v>3914</v>
      </c>
      <c r="C56" s="92">
        <v>510</v>
      </c>
      <c r="D56" s="95">
        <v>0.13030148185998977</v>
      </c>
      <c r="E56" s="92">
        <v>1141</v>
      </c>
      <c r="F56" s="95">
        <v>0.29151762902401634</v>
      </c>
      <c r="G56" s="92">
        <v>1389</v>
      </c>
      <c r="H56" s="95">
        <v>0.35487991824220744</v>
      </c>
      <c r="I56" s="92">
        <v>114</v>
      </c>
      <c r="J56" s="95">
        <v>2.9126213592233011E-2</v>
      </c>
      <c r="K56" s="96">
        <v>62</v>
      </c>
      <c r="L56" s="95">
        <v>1.5840572304547777E-2</v>
      </c>
      <c r="M56" s="92">
        <v>79</v>
      </c>
      <c r="N56" s="94">
        <v>2.0183955033214102E-2</v>
      </c>
      <c r="O56" s="97"/>
      <c r="P56" s="97"/>
    </row>
    <row r="57" spans="1:16" x14ac:dyDescent="0.2">
      <c r="A57" s="76" t="s">
        <v>33</v>
      </c>
      <c r="B57" s="93">
        <v>18188</v>
      </c>
      <c r="C57" s="92">
        <v>1067</v>
      </c>
      <c r="D57" s="95">
        <v>5.8665053881680231E-2</v>
      </c>
      <c r="E57" s="92">
        <v>2968</v>
      </c>
      <c r="F57" s="95">
        <v>0.16318451726413019</v>
      </c>
      <c r="G57" s="92">
        <v>6543</v>
      </c>
      <c r="H57" s="95">
        <v>0.35974268748625465</v>
      </c>
      <c r="I57" s="92">
        <v>1144</v>
      </c>
      <c r="J57" s="95">
        <v>6.2898614471079833E-2</v>
      </c>
      <c r="K57" s="96">
        <v>861</v>
      </c>
      <c r="L57" s="95">
        <v>4.7338904772377392E-2</v>
      </c>
      <c r="M57" s="92">
        <v>868</v>
      </c>
      <c r="N57" s="94">
        <v>4.7723773916868266E-2</v>
      </c>
      <c r="O57" s="97"/>
      <c r="P57" s="97"/>
    </row>
    <row r="59" spans="1:16" x14ac:dyDescent="0.2">
      <c r="A59" t="s">
        <v>34</v>
      </c>
    </row>
    <row r="60" spans="1:16" x14ac:dyDescent="0.2">
      <c r="A60" s="22" t="s">
        <v>185</v>
      </c>
    </row>
    <row r="61" spans="1:16" x14ac:dyDescent="0.2">
      <c r="A61" s="22" t="s">
        <v>186</v>
      </c>
    </row>
    <row r="62" spans="1:16" x14ac:dyDescent="0.2">
      <c r="A62" s="22" t="s">
        <v>187</v>
      </c>
    </row>
    <row r="63" spans="1:16" x14ac:dyDescent="0.2">
      <c r="A63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A9D08E"/>
  </sheetPr>
  <dimension ref="A1:M34"/>
  <sheetViews>
    <sheetView zoomScaleNormal="100" workbookViewId="0">
      <pane xSplit="1" topLeftCell="B1" activePane="topRight" state="frozen"/>
      <selection pane="topRight" activeCell="C29" sqref="A3:C29"/>
    </sheetView>
  </sheetViews>
  <sheetFormatPr baseColWidth="10" defaultColWidth="8.83203125" defaultRowHeight="15" x14ac:dyDescent="0.2"/>
  <cols>
    <col min="1" max="1" width="35.5" customWidth="1"/>
    <col min="2" max="2" width="14.5" customWidth="1"/>
    <col min="3" max="3" width="16.5" customWidth="1"/>
    <col min="4" max="4" width="14.5" customWidth="1"/>
    <col min="5" max="5" width="16.5" customWidth="1"/>
    <col min="6" max="6" width="11.83203125" customWidth="1"/>
    <col min="7" max="7" width="15" customWidth="1"/>
    <col min="8" max="8" width="14.5" customWidth="1"/>
    <col min="9" max="9" width="16.5" customWidth="1"/>
    <col min="10" max="10" width="11.83203125" customWidth="1"/>
    <col min="11" max="11" width="15.5" customWidth="1"/>
  </cols>
  <sheetData>
    <row r="1" spans="1:13" ht="21" x14ac:dyDescent="0.25">
      <c r="A1" s="11" t="s">
        <v>188</v>
      </c>
    </row>
    <row r="3" spans="1:13" ht="15" customHeight="1" x14ac:dyDescent="0.2">
      <c r="A3" s="143"/>
      <c r="B3" s="131" t="s">
        <v>189</v>
      </c>
      <c r="C3" s="131" t="s">
        <v>188</v>
      </c>
      <c r="D3" s="129" t="s">
        <v>190</v>
      </c>
      <c r="E3" s="129" t="s">
        <v>188</v>
      </c>
      <c r="F3" s="129" t="s">
        <v>191</v>
      </c>
      <c r="G3" s="129" t="s">
        <v>188</v>
      </c>
      <c r="H3" s="129" t="s">
        <v>192</v>
      </c>
      <c r="I3" s="129" t="s">
        <v>188</v>
      </c>
      <c r="J3" s="129" t="s">
        <v>193</v>
      </c>
      <c r="K3" s="129" t="s">
        <v>188</v>
      </c>
    </row>
    <row r="4" spans="1:13" ht="60" customHeight="1" x14ac:dyDescent="0.2">
      <c r="A4" s="144"/>
      <c r="B4" s="132"/>
      <c r="C4" s="132"/>
      <c r="D4" s="16">
        <v>17025696</v>
      </c>
      <c r="E4" s="18">
        <v>0.38450187293371146</v>
      </c>
      <c r="F4" s="16">
        <v>67045523</v>
      </c>
      <c r="G4" s="18">
        <v>0.80330612082778441</v>
      </c>
      <c r="H4" s="16">
        <v>124807865</v>
      </c>
      <c r="I4" s="18">
        <v>0.76197938327043735</v>
      </c>
      <c r="J4" s="16">
        <v>50783796</v>
      </c>
      <c r="K4" s="18">
        <v>0.17966323352433128</v>
      </c>
    </row>
    <row r="5" spans="1:13" x14ac:dyDescent="0.2">
      <c r="A5" s="25" t="s">
        <v>44</v>
      </c>
      <c r="B5" s="16">
        <v>259662880</v>
      </c>
      <c r="C5" s="18">
        <v>0.63401242410929126</v>
      </c>
      <c r="D5" s="16">
        <v>376972</v>
      </c>
      <c r="E5" s="18">
        <v>0.42950670076292141</v>
      </c>
      <c r="F5" s="16">
        <v>1462935</v>
      </c>
      <c r="G5" s="18">
        <v>0.82624518519278023</v>
      </c>
      <c r="H5" s="16">
        <v>2701109</v>
      </c>
      <c r="I5" s="18">
        <v>0.80855233905777224</v>
      </c>
      <c r="J5" s="16">
        <v>1107089</v>
      </c>
      <c r="K5" s="18">
        <v>0.22246449924080178</v>
      </c>
      <c r="M5" s="24"/>
    </row>
    <row r="6" spans="1:13" x14ac:dyDescent="0.2">
      <c r="A6" s="25" t="s">
        <v>10</v>
      </c>
      <c r="B6" s="16">
        <v>5648105</v>
      </c>
      <c r="C6" s="18">
        <v>0.67295685898190627</v>
      </c>
      <c r="D6" s="16">
        <v>42167</v>
      </c>
      <c r="E6" s="18">
        <v>0.42473972500000001</v>
      </c>
      <c r="F6" s="16">
        <v>237784</v>
      </c>
      <c r="G6" s="18">
        <v>0.81627443399999999</v>
      </c>
      <c r="H6" s="16">
        <v>228047</v>
      </c>
      <c r="I6" s="18">
        <v>0.79736633199999996</v>
      </c>
      <c r="J6" s="16">
        <v>78861</v>
      </c>
      <c r="K6" s="18">
        <v>0.199452201</v>
      </c>
      <c r="M6" s="24"/>
    </row>
    <row r="7" spans="1:13" x14ac:dyDescent="0.2">
      <c r="A7" s="16" t="s">
        <v>11</v>
      </c>
      <c r="B7" s="16">
        <v>586859</v>
      </c>
      <c r="C7" s="18">
        <v>0.69790699299150227</v>
      </c>
      <c r="D7" s="16">
        <v>2474</v>
      </c>
      <c r="E7" s="18">
        <v>0.45392077600000003</v>
      </c>
      <c r="F7" s="16">
        <v>13046</v>
      </c>
      <c r="G7" s="18">
        <v>0.61766058599999996</v>
      </c>
      <c r="H7" s="16">
        <v>2614</v>
      </c>
      <c r="I7" s="18">
        <v>0.79724560099999997</v>
      </c>
      <c r="J7" s="16">
        <v>502</v>
      </c>
      <c r="K7" s="18">
        <v>0.231075697</v>
      </c>
      <c r="M7" s="24"/>
    </row>
    <row r="8" spans="1:13" x14ac:dyDescent="0.2">
      <c r="A8" s="19" t="s">
        <v>12</v>
      </c>
      <c r="B8" s="16">
        <v>18636</v>
      </c>
      <c r="C8" s="18">
        <v>0.61069972097016523</v>
      </c>
      <c r="D8" s="16">
        <v>1102</v>
      </c>
      <c r="E8" s="18">
        <v>0.47005444600000001</v>
      </c>
      <c r="F8" s="16">
        <v>7418</v>
      </c>
      <c r="G8" s="18">
        <v>0.78943111399999999</v>
      </c>
      <c r="H8" s="16">
        <v>5685</v>
      </c>
      <c r="I8" s="18">
        <v>0.79313984199999998</v>
      </c>
      <c r="J8" s="16">
        <v>2531</v>
      </c>
      <c r="K8" s="18">
        <v>0.31489529799999999</v>
      </c>
      <c r="M8" s="24"/>
    </row>
    <row r="9" spans="1:13" x14ac:dyDescent="0.2">
      <c r="A9" s="19" t="s">
        <v>45</v>
      </c>
      <c r="B9" s="16">
        <v>16736</v>
      </c>
      <c r="C9" s="18">
        <v>0.69789674952198855</v>
      </c>
      <c r="D9" s="16">
        <v>83</v>
      </c>
      <c r="E9" s="18">
        <v>0.50602409599999998</v>
      </c>
      <c r="F9" s="16">
        <v>4524</v>
      </c>
      <c r="G9" s="18">
        <v>0.95468611800000003</v>
      </c>
      <c r="H9" s="16">
        <v>2927</v>
      </c>
      <c r="I9" s="18">
        <v>0.79364537099999999</v>
      </c>
      <c r="J9" s="16">
        <v>1295</v>
      </c>
      <c r="K9" s="18">
        <v>0.26872586900000001</v>
      </c>
      <c r="M9" s="24"/>
    </row>
    <row r="10" spans="1:13" x14ac:dyDescent="0.2">
      <c r="A10" s="19" t="s">
        <v>46</v>
      </c>
      <c r="B10" s="16">
        <v>8829</v>
      </c>
      <c r="C10" s="18">
        <v>0.79646619096160376</v>
      </c>
      <c r="D10" s="16">
        <v>1908</v>
      </c>
      <c r="E10" s="18">
        <v>0.41509434000000001</v>
      </c>
      <c r="F10" s="16">
        <v>29181</v>
      </c>
      <c r="G10" s="18">
        <v>0.855556698</v>
      </c>
      <c r="H10" s="16">
        <v>13174</v>
      </c>
      <c r="I10" s="18">
        <v>0.81417944399999997</v>
      </c>
      <c r="J10" s="16">
        <v>6217</v>
      </c>
      <c r="K10" s="18">
        <v>0.17838185600000001</v>
      </c>
      <c r="M10" s="24"/>
    </row>
    <row r="11" spans="1:13" x14ac:dyDescent="0.2">
      <c r="A11" s="19" t="s">
        <v>15</v>
      </c>
      <c r="B11" s="16">
        <v>50480</v>
      </c>
      <c r="C11" s="18">
        <v>0.74471077654516638</v>
      </c>
      <c r="D11" s="16">
        <v>395</v>
      </c>
      <c r="E11" s="18">
        <v>0.35949367100000001</v>
      </c>
      <c r="F11" s="16">
        <v>5603</v>
      </c>
      <c r="G11" s="18">
        <v>0.94199535999999995</v>
      </c>
      <c r="H11" s="16">
        <v>7949</v>
      </c>
      <c r="I11" s="18">
        <v>0.79632658199999995</v>
      </c>
      <c r="J11" s="16">
        <v>2178</v>
      </c>
      <c r="K11" s="18">
        <v>0.23140495899999999</v>
      </c>
      <c r="M11" s="24"/>
    </row>
    <row r="12" spans="1:13" x14ac:dyDescent="0.2">
      <c r="A12" s="19" t="s">
        <v>16</v>
      </c>
      <c r="B12" s="16">
        <v>16125</v>
      </c>
      <c r="C12" s="18">
        <v>0.75993798449612404</v>
      </c>
      <c r="D12" s="16">
        <v>6797</v>
      </c>
      <c r="E12" s="18">
        <v>0.39635133099999997</v>
      </c>
      <c r="F12" s="16">
        <v>35771</v>
      </c>
      <c r="G12" s="18">
        <v>0.84084873199999999</v>
      </c>
      <c r="H12" s="16">
        <v>44604</v>
      </c>
      <c r="I12" s="18">
        <v>0.78264281199999997</v>
      </c>
      <c r="J12" s="16">
        <v>14934</v>
      </c>
      <c r="K12" s="18">
        <v>0.18735770700000001</v>
      </c>
      <c r="M12" s="24"/>
    </row>
    <row r="13" spans="1:13" x14ac:dyDescent="0.2">
      <c r="A13" s="19" t="s">
        <v>17</v>
      </c>
      <c r="B13" s="16">
        <v>102106</v>
      </c>
      <c r="C13" s="18">
        <v>0.69025326621354277</v>
      </c>
      <c r="D13" s="16">
        <v>2375</v>
      </c>
      <c r="E13" s="18">
        <v>0.43452631600000002</v>
      </c>
      <c r="F13" s="16">
        <v>5942</v>
      </c>
      <c r="G13" s="18">
        <v>0.74856950499999997</v>
      </c>
      <c r="H13" s="16">
        <v>5697</v>
      </c>
      <c r="I13" s="18">
        <v>0.80112339799999999</v>
      </c>
      <c r="J13" s="16">
        <v>2853</v>
      </c>
      <c r="K13" s="18">
        <v>0.18541885699999999</v>
      </c>
      <c r="M13" s="24"/>
    </row>
    <row r="14" spans="1:13" x14ac:dyDescent="0.2">
      <c r="A14" s="19" t="s">
        <v>18</v>
      </c>
      <c r="B14" s="16">
        <v>16867</v>
      </c>
      <c r="C14" s="18">
        <v>0.62684531926246512</v>
      </c>
      <c r="D14" s="16">
        <v>1869</v>
      </c>
      <c r="E14" s="18">
        <v>0.36864633499999999</v>
      </c>
      <c r="F14" s="16">
        <v>14689</v>
      </c>
      <c r="G14" s="18">
        <v>0.85771665900000005</v>
      </c>
      <c r="H14" s="16">
        <v>18042</v>
      </c>
      <c r="I14" s="18">
        <v>0.84303292299999999</v>
      </c>
      <c r="J14" s="16">
        <v>4270</v>
      </c>
      <c r="K14" s="18">
        <v>0.168149883</v>
      </c>
      <c r="M14" s="24"/>
    </row>
    <row r="15" spans="1:13" x14ac:dyDescent="0.2">
      <c r="A15" s="19" t="s">
        <v>19</v>
      </c>
      <c r="B15" s="16">
        <v>38870</v>
      </c>
      <c r="C15" s="18">
        <v>0.75163365063030618</v>
      </c>
      <c r="D15" s="16">
        <v>8545</v>
      </c>
      <c r="E15" s="18">
        <v>0.44669397300000002</v>
      </c>
      <c r="F15" s="16">
        <v>18072</v>
      </c>
      <c r="G15" s="18">
        <v>0.64962372700000004</v>
      </c>
      <c r="H15" s="16">
        <v>4660</v>
      </c>
      <c r="I15" s="18">
        <v>0.73240343299999999</v>
      </c>
      <c r="J15" s="16">
        <v>1562</v>
      </c>
      <c r="K15" s="18">
        <v>0.18886043499999999</v>
      </c>
      <c r="M15" s="24"/>
    </row>
    <row r="16" spans="1:13" x14ac:dyDescent="0.2">
      <c r="A16" s="19" t="s">
        <v>20</v>
      </c>
      <c r="B16" s="16">
        <v>32839</v>
      </c>
      <c r="C16" s="18">
        <v>0.58665001979353815</v>
      </c>
      <c r="D16" s="16">
        <v>1680</v>
      </c>
      <c r="E16" s="18">
        <v>0.35</v>
      </c>
      <c r="F16" s="16">
        <v>8221</v>
      </c>
      <c r="G16" s="18">
        <v>0.85184284200000004</v>
      </c>
      <c r="H16" s="16">
        <v>16158</v>
      </c>
      <c r="I16" s="18">
        <v>0.83061022399999995</v>
      </c>
      <c r="J16" s="16">
        <v>5651</v>
      </c>
      <c r="K16" s="18">
        <v>0.20385772399999999</v>
      </c>
      <c r="M16" s="24"/>
    </row>
    <row r="17" spans="1:13" x14ac:dyDescent="0.2">
      <c r="A17" s="19" t="s">
        <v>21</v>
      </c>
      <c r="B17" s="16">
        <v>31710</v>
      </c>
      <c r="C17" s="18">
        <v>0.69895931882686846</v>
      </c>
      <c r="D17" s="16">
        <v>1433</v>
      </c>
      <c r="E17" s="18">
        <v>0.37404047499999998</v>
      </c>
      <c r="F17" s="16">
        <v>13286</v>
      </c>
      <c r="G17" s="18">
        <v>0.87746500100000002</v>
      </c>
      <c r="H17" s="16">
        <v>15635</v>
      </c>
      <c r="I17" s="18">
        <v>0.82571154499999999</v>
      </c>
      <c r="J17" s="16">
        <v>4651</v>
      </c>
      <c r="K17" s="18">
        <v>0.233068157</v>
      </c>
      <c r="M17" s="24"/>
    </row>
    <row r="18" spans="1:13" x14ac:dyDescent="0.2">
      <c r="A18" s="19" t="s">
        <v>22</v>
      </c>
      <c r="B18" s="16">
        <v>35005</v>
      </c>
      <c r="C18" s="18">
        <v>0.74812169690044283</v>
      </c>
      <c r="D18" s="16">
        <v>2640</v>
      </c>
      <c r="E18" s="18">
        <v>0.46439393899999998</v>
      </c>
      <c r="F18" s="16">
        <v>2575</v>
      </c>
      <c r="G18" s="18">
        <v>0.59922330099999999</v>
      </c>
      <c r="H18" s="16">
        <v>94</v>
      </c>
      <c r="I18" s="18">
        <v>0.72340425500000005</v>
      </c>
      <c r="J18" s="16">
        <v>34</v>
      </c>
      <c r="K18" s="18">
        <v>0.17647058800000001</v>
      </c>
      <c r="M18" s="24"/>
    </row>
    <row r="19" spans="1:13" x14ac:dyDescent="0.2">
      <c r="A19" s="19" t="s">
        <v>23</v>
      </c>
      <c r="B19" s="16">
        <v>5343</v>
      </c>
      <c r="C19" s="18">
        <v>0.5320980722440577</v>
      </c>
      <c r="D19" s="16">
        <v>1488</v>
      </c>
      <c r="E19" s="18">
        <v>0.45698924699999999</v>
      </c>
      <c r="F19" s="16">
        <v>5582</v>
      </c>
      <c r="G19" s="18">
        <v>0.85309924800000003</v>
      </c>
      <c r="H19" s="16">
        <v>10462</v>
      </c>
      <c r="I19" s="18">
        <v>0.80328809000000001</v>
      </c>
      <c r="J19" s="16">
        <v>3472</v>
      </c>
      <c r="K19" s="18">
        <v>0.23559907799999999</v>
      </c>
      <c r="M19" s="24"/>
    </row>
    <row r="20" spans="1:13" x14ac:dyDescent="0.2">
      <c r="A20" s="19" t="s">
        <v>24</v>
      </c>
      <c r="B20" s="16">
        <v>21004</v>
      </c>
      <c r="C20" s="18">
        <v>0.69815273281279755</v>
      </c>
      <c r="D20" s="16">
        <v>1744</v>
      </c>
      <c r="E20" s="18">
        <v>0.37270642199999998</v>
      </c>
      <c r="F20" s="16">
        <v>8599</v>
      </c>
      <c r="G20" s="18">
        <v>0.675078497</v>
      </c>
      <c r="H20" s="16">
        <v>3946</v>
      </c>
      <c r="I20" s="18">
        <v>0.69969589499999996</v>
      </c>
      <c r="J20" s="16">
        <v>1932</v>
      </c>
      <c r="K20" s="18">
        <v>0.109213251</v>
      </c>
      <c r="M20" s="24"/>
    </row>
    <row r="21" spans="1:13" x14ac:dyDescent="0.2">
      <c r="A21" s="19" t="s">
        <v>47</v>
      </c>
      <c r="B21" s="16">
        <v>16221</v>
      </c>
      <c r="C21" s="18">
        <v>0.58116022440046855</v>
      </c>
      <c r="D21" s="16">
        <v>19</v>
      </c>
      <c r="E21" s="18">
        <v>1</v>
      </c>
      <c r="F21" s="16">
        <v>5208</v>
      </c>
      <c r="G21" s="18">
        <v>0.92780337899999998</v>
      </c>
      <c r="H21" s="16">
        <v>2079</v>
      </c>
      <c r="I21" s="18">
        <v>0.92015391999999996</v>
      </c>
      <c r="J21" s="16">
        <v>934</v>
      </c>
      <c r="K21" s="18">
        <v>0.28800856499999999</v>
      </c>
      <c r="M21" s="24"/>
    </row>
    <row r="22" spans="1:13" x14ac:dyDescent="0.2">
      <c r="A22" s="19" t="s">
        <v>48</v>
      </c>
      <c r="B22" s="16">
        <v>8240</v>
      </c>
      <c r="C22" s="18">
        <v>0.85351941747572813</v>
      </c>
      <c r="D22" s="16">
        <v>1151</v>
      </c>
      <c r="E22" s="18">
        <v>0.403996525</v>
      </c>
      <c r="F22" s="16">
        <v>6310</v>
      </c>
      <c r="G22" s="18">
        <v>0.89556259900000001</v>
      </c>
      <c r="H22" s="16">
        <v>13237</v>
      </c>
      <c r="I22" s="18">
        <v>0.82873762900000003</v>
      </c>
      <c r="J22" s="16">
        <v>3940</v>
      </c>
      <c r="K22" s="18">
        <v>0.20634517799999999</v>
      </c>
      <c r="M22" s="24"/>
    </row>
    <row r="23" spans="1:13" x14ac:dyDescent="0.2">
      <c r="A23" s="19" t="s">
        <v>27</v>
      </c>
      <c r="B23" s="16">
        <v>24638</v>
      </c>
      <c r="C23" s="18">
        <v>0.72647942203100901</v>
      </c>
      <c r="D23" s="16">
        <v>3636</v>
      </c>
      <c r="E23" s="18">
        <v>0.48542354199999999</v>
      </c>
      <c r="F23" s="16">
        <v>15059</v>
      </c>
      <c r="G23" s="18">
        <v>0.73125705600000002</v>
      </c>
      <c r="H23" s="16">
        <v>18174</v>
      </c>
      <c r="I23" s="18">
        <v>0.70215692699999999</v>
      </c>
      <c r="J23" s="16">
        <v>6413</v>
      </c>
      <c r="K23" s="18">
        <v>0.17121471999999999</v>
      </c>
      <c r="M23" s="24"/>
    </row>
    <row r="24" spans="1:13" x14ac:dyDescent="0.2">
      <c r="A24" s="19" t="s">
        <v>28</v>
      </c>
      <c r="B24" s="16">
        <v>43282</v>
      </c>
      <c r="C24" s="18">
        <v>0.6154059424241024</v>
      </c>
      <c r="D24" s="16">
        <v>607</v>
      </c>
      <c r="E24" s="18">
        <v>0.30971993399999997</v>
      </c>
      <c r="F24" s="16">
        <v>16937</v>
      </c>
      <c r="G24" s="18">
        <v>0.917045522</v>
      </c>
      <c r="H24" s="16">
        <v>11712</v>
      </c>
      <c r="I24" s="18">
        <v>0.81019467199999995</v>
      </c>
      <c r="J24" s="16">
        <v>3157</v>
      </c>
      <c r="K24" s="18">
        <v>0.16598036099999999</v>
      </c>
      <c r="M24" s="24"/>
    </row>
    <row r="25" spans="1:13" x14ac:dyDescent="0.2">
      <c r="A25" s="19" t="s">
        <v>29</v>
      </c>
      <c r="B25" s="16">
        <v>32413</v>
      </c>
      <c r="C25" s="18">
        <v>0.79390985098571565</v>
      </c>
      <c r="D25" s="16">
        <v>63</v>
      </c>
      <c r="E25" s="18">
        <v>0.41269841299999999</v>
      </c>
      <c r="F25" s="16">
        <v>2038</v>
      </c>
      <c r="G25" s="18">
        <v>0.98331697699999998</v>
      </c>
      <c r="H25" s="16">
        <v>1779</v>
      </c>
      <c r="I25" s="18">
        <v>0.82686902799999995</v>
      </c>
      <c r="J25" s="16">
        <v>354</v>
      </c>
      <c r="K25" s="18">
        <v>0.32768361600000001</v>
      </c>
      <c r="M25" s="24"/>
    </row>
    <row r="26" spans="1:13" x14ac:dyDescent="0.2">
      <c r="A26" s="19" t="s">
        <v>30</v>
      </c>
      <c r="B26" s="16">
        <v>4234</v>
      </c>
      <c r="C26" s="18">
        <v>0.85427491733585259</v>
      </c>
      <c r="D26" s="16">
        <v>761</v>
      </c>
      <c r="E26" s="18">
        <v>0.50591327200000002</v>
      </c>
      <c r="F26" s="16">
        <v>11029</v>
      </c>
      <c r="G26" s="18">
        <v>0.85111977500000002</v>
      </c>
      <c r="H26" s="16">
        <v>12727</v>
      </c>
      <c r="I26" s="18">
        <v>0.78683114600000004</v>
      </c>
      <c r="J26" s="16">
        <v>4490</v>
      </c>
      <c r="K26" s="18">
        <v>0.17706013400000001</v>
      </c>
      <c r="M26" s="24"/>
    </row>
    <row r="27" spans="1:13" x14ac:dyDescent="0.2">
      <c r="A27" s="19" t="s">
        <v>49</v>
      </c>
      <c r="B27" s="16">
        <v>29007</v>
      </c>
      <c r="C27" s="18">
        <v>0.70951839211224876</v>
      </c>
      <c r="D27" s="16">
        <v>164</v>
      </c>
      <c r="E27" s="18">
        <v>0.26829268299999998</v>
      </c>
      <c r="F27" s="16">
        <v>2504</v>
      </c>
      <c r="G27" s="18">
        <v>0.77675718800000004</v>
      </c>
      <c r="H27" s="16">
        <v>2555</v>
      </c>
      <c r="I27" s="18">
        <v>0.68062622299999997</v>
      </c>
      <c r="J27" s="16">
        <v>997</v>
      </c>
      <c r="K27" s="18">
        <v>0.29287863600000003</v>
      </c>
      <c r="M27" s="24"/>
    </row>
    <row r="28" spans="1:13" x14ac:dyDescent="0.2">
      <c r="A28" s="19" t="s">
        <v>50</v>
      </c>
      <c r="B28" s="16">
        <v>6220</v>
      </c>
      <c r="C28" s="18">
        <v>0.6463022508038585</v>
      </c>
      <c r="D28" s="16">
        <v>1218</v>
      </c>
      <c r="E28" s="18">
        <v>0.38916256199999999</v>
      </c>
      <c r="F28" s="16">
        <v>6062</v>
      </c>
      <c r="G28" s="18">
        <v>0.91636423600000005</v>
      </c>
      <c r="H28" s="16">
        <v>13780</v>
      </c>
      <c r="I28" s="18">
        <v>0.84622641499999995</v>
      </c>
      <c r="J28" s="16">
        <v>6470</v>
      </c>
      <c r="K28" s="18">
        <v>0.20664605899999999</v>
      </c>
      <c r="M28" s="24"/>
    </row>
    <row r="29" spans="1:13" x14ac:dyDescent="0.2">
      <c r="A29" s="19" t="s">
        <v>33</v>
      </c>
      <c r="B29" s="16">
        <v>27530</v>
      </c>
      <c r="C29" s="18">
        <v>0.69113694151834359</v>
      </c>
      <c r="M29" s="24"/>
    </row>
    <row r="31" spans="1:13" x14ac:dyDescent="0.2">
      <c r="A31" t="s">
        <v>34</v>
      </c>
    </row>
    <row r="32" spans="1:13" x14ac:dyDescent="0.2">
      <c r="A32" t="s">
        <v>194</v>
      </c>
    </row>
    <row r="33" spans="1:1" x14ac:dyDescent="0.2">
      <c r="A33" t="s">
        <v>195</v>
      </c>
    </row>
    <row r="34" spans="1:1" x14ac:dyDescent="0.2">
      <c r="A34" t="s">
        <v>196</v>
      </c>
    </row>
  </sheetData>
  <mergeCells count="3">
    <mergeCell ref="A3:A4"/>
    <mergeCell ref="B3:B4"/>
    <mergeCell ref="C3: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92D050"/>
  </sheetPr>
  <dimension ref="A1:S34"/>
  <sheetViews>
    <sheetView tabSelected="1" workbookViewId="0">
      <pane xSplit="1" topLeftCell="B1" activePane="topRight" state="frozen"/>
      <selection activeCell="A13" sqref="A13"/>
      <selection pane="topRight" activeCell="J26" sqref="J26"/>
    </sheetView>
  </sheetViews>
  <sheetFormatPr baseColWidth="10" defaultColWidth="8.83203125" defaultRowHeight="15" x14ac:dyDescent="0.2"/>
  <cols>
    <col min="1" max="1" width="27.33203125" customWidth="1"/>
    <col min="2" max="2" width="12.5" customWidth="1"/>
    <col min="3" max="3" width="14" hidden="1" customWidth="1"/>
    <col min="4" max="13" width="10.5" bestFit="1" customWidth="1"/>
    <col min="14" max="14" width="13.6640625" bestFit="1" customWidth="1"/>
    <col min="15" max="23" width="10.5" bestFit="1" customWidth="1"/>
    <col min="24" max="24" width="11.5" bestFit="1" customWidth="1"/>
    <col min="25" max="27" width="10.5" bestFit="1" customWidth="1"/>
  </cols>
  <sheetData>
    <row r="1" spans="1:19" ht="48" x14ac:dyDescent="0.2">
      <c r="A1" s="120" t="s">
        <v>275</v>
      </c>
      <c r="B1" s="120" t="s">
        <v>197</v>
      </c>
      <c r="C1" s="120" t="s">
        <v>198</v>
      </c>
      <c r="D1" s="120" t="s">
        <v>199</v>
      </c>
      <c r="E1" s="15" t="s">
        <v>3</v>
      </c>
      <c r="F1" s="15" t="s">
        <v>200</v>
      </c>
      <c r="G1" s="15" t="s">
        <v>3</v>
      </c>
      <c r="H1" s="15" t="s">
        <v>201</v>
      </c>
      <c r="I1" s="15" t="s">
        <v>3</v>
      </c>
      <c r="J1" s="15" t="s">
        <v>202</v>
      </c>
      <c r="K1" s="15" t="s">
        <v>3</v>
      </c>
      <c r="L1" s="15" t="s">
        <v>203</v>
      </c>
      <c r="M1" s="15" t="s">
        <v>3</v>
      </c>
      <c r="N1" s="15" t="s">
        <v>204</v>
      </c>
      <c r="O1" s="15" t="s">
        <v>3</v>
      </c>
      <c r="P1" s="15" t="s">
        <v>205</v>
      </c>
      <c r="Q1" s="15" t="s">
        <v>3</v>
      </c>
      <c r="R1" s="15" t="s">
        <v>206</v>
      </c>
      <c r="S1" s="15" t="s">
        <v>3</v>
      </c>
    </row>
    <row r="2" spans="1:19" x14ac:dyDescent="0.2">
      <c r="A2" s="19" t="s">
        <v>12</v>
      </c>
      <c r="B2" s="48">
        <v>58141</v>
      </c>
      <c r="C2" s="16">
        <v>6526</v>
      </c>
      <c r="D2" s="16">
        <v>1140</v>
      </c>
      <c r="E2" s="18">
        <v>0.17499999999999999</v>
      </c>
      <c r="F2" s="16">
        <v>491</v>
      </c>
      <c r="G2" s="18">
        <v>7.4999999999999997E-2</v>
      </c>
      <c r="H2" s="16">
        <v>551</v>
      </c>
      <c r="I2" s="18">
        <v>8.4000000000000005E-2</v>
      </c>
      <c r="J2" s="16">
        <v>700</v>
      </c>
      <c r="K2" s="18">
        <v>0.107</v>
      </c>
      <c r="L2" s="16">
        <v>1129</v>
      </c>
      <c r="M2" s="18">
        <v>0.17299999999999999</v>
      </c>
      <c r="N2" s="16">
        <v>639</v>
      </c>
      <c r="O2" s="18">
        <v>9.8000000000000004E-2</v>
      </c>
      <c r="P2" s="16">
        <v>1054</v>
      </c>
      <c r="Q2" s="18">
        <v>0.16200000000000001</v>
      </c>
      <c r="R2" s="16">
        <v>822</v>
      </c>
      <c r="S2" s="18">
        <v>0.126</v>
      </c>
    </row>
    <row r="3" spans="1:19" x14ac:dyDescent="0.2">
      <c r="A3" s="19" t="s">
        <v>45</v>
      </c>
      <c r="B3" s="48">
        <v>111185</v>
      </c>
      <c r="C3" s="16">
        <v>9829</v>
      </c>
      <c r="D3" s="16">
        <v>1324</v>
      </c>
      <c r="E3" s="18">
        <v>0.13500000000000001</v>
      </c>
      <c r="F3" s="16">
        <v>433</v>
      </c>
      <c r="G3" s="18">
        <v>4.3999999999999997E-2</v>
      </c>
      <c r="H3" s="16">
        <v>422</v>
      </c>
      <c r="I3" s="18">
        <v>4.2999999999999997E-2</v>
      </c>
      <c r="J3" s="16">
        <v>596</v>
      </c>
      <c r="K3" s="18">
        <v>6.0999999999999999E-2</v>
      </c>
      <c r="L3" s="16">
        <v>959</v>
      </c>
      <c r="M3" s="18">
        <v>9.8000000000000004E-2</v>
      </c>
      <c r="N3" s="16">
        <v>802</v>
      </c>
      <c r="O3" s="18">
        <v>8.2000000000000003E-2</v>
      </c>
      <c r="P3" s="16">
        <v>1393</v>
      </c>
      <c r="Q3" s="18">
        <v>0.14199999999999999</v>
      </c>
      <c r="R3" s="16">
        <v>3900</v>
      </c>
      <c r="S3" s="18">
        <v>0.39700000000000002</v>
      </c>
    </row>
    <row r="4" spans="1:19" x14ac:dyDescent="0.2">
      <c r="A4" s="19" t="s">
        <v>46</v>
      </c>
      <c r="B4" s="48">
        <v>110840.9</v>
      </c>
      <c r="C4" s="16">
        <v>5427</v>
      </c>
      <c r="D4" s="16">
        <v>386</v>
      </c>
      <c r="E4" s="18">
        <v>7.0999999999999994E-2</v>
      </c>
      <c r="F4" s="16">
        <v>215</v>
      </c>
      <c r="G4" s="18">
        <v>0.04</v>
      </c>
      <c r="H4" s="16">
        <v>126</v>
      </c>
      <c r="I4" s="18">
        <v>2.3E-2</v>
      </c>
      <c r="J4" s="16">
        <v>345</v>
      </c>
      <c r="K4" s="18">
        <v>6.4000000000000001E-2</v>
      </c>
      <c r="L4" s="16">
        <v>683</v>
      </c>
      <c r="M4" s="18">
        <v>0.126</v>
      </c>
      <c r="N4" s="16">
        <v>720</v>
      </c>
      <c r="O4" s="18">
        <v>0.13300000000000001</v>
      </c>
      <c r="P4" s="16">
        <v>891</v>
      </c>
      <c r="Q4" s="18">
        <v>0.16400000000000001</v>
      </c>
      <c r="R4" s="16">
        <v>2061</v>
      </c>
      <c r="S4" s="18">
        <v>0.38</v>
      </c>
    </row>
    <row r="5" spans="1:19" x14ac:dyDescent="0.2">
      <c r="A5" s="19" t="s">
        <v>15</v>
      </c>
      <c r="B5" s="48">
        <v>77624.800000000003</v>
      </c>
      <c r="C5" s="16">
        <v>22698</v>
      </c>
      <c r="D5" s="16">
        <v>3051</v>
      </c>
      <c r="E5" s="18">
        <v>0.13400000000000001</v>
      </c>
      <c r="F5" s="16">
        <v>1549</v>
      </c>
      <c r="G5" s="18">
        <v>6.8000000000000005E-2</v>
      </c>
      <c r="H5" s="16">
        <v>1260</v>
      </c>
      <c r="I5" s="18">
        <v>5.6000000000000001E-2</v>
      </c>
      <c r="J5" s="16">
        <v>1659</v>
      </c>
      <c r="K5" s="18">
        <v>7.2999999999999995E-2</v>
      </c>
      <c r="L5" s="16">
        <v>3523</v>
      </c>
      <c r="M5" s="18">
        <v>0.155</v>
      </c>
      <c r="N5" s="16">
        <v>2924</v>
      </c>
      <c r="O5" s="18">
        <v>0.129</v>
      </c>
      <c r="P5" s="16">
        <v>4715</v>
      </c>
      <c r="Q5" s="18">
        <v>0.20799999999999999</v>
      </c>
      <c r="R5" s="16">
        <v>4017</v>
      </c>
      <c r="S5" s="18">
        <v>0.17699999999999999</v>
      </c>
    </row>
    <row r="6" spans="1:19" x14ac:dyDescent="0.2">
      <c r="A6" s="19" t="s">
        <v>16</v>
      </c>
      <c r="B6" s="48">
        <v>127399.6</v>
      </c>
      <c r="C6" s="16">
        <v>9162</v>
      </c>
      <c r="D6" s="16">
        <v>1205</v>
      </c>
      <c r="E6" s="18">
        <v>0.13200000000000001</v>
      </c>
      <c r="F6" s="16">
        <v>607</v>
      </c>
      <c r="G6" s="18">
        <v>6.6000000000000003E-2</v>
      </c>
      <c r="H6" s="16">
        <v>290</v>
      </c>
      <c r="I6" s="18">
        <v>3.2000000000000001E-2</v>
      </c>
      <c r="J6" s="16">
        <v>445</v>
      </c>
      <c r="K6" s="18">
        <v>4.9000000000000002E-2</v>
      </c>
      <c r="L6" s="16">
        <v>643</v>
      </c>
      <c r="M6" s="18">
        <v>7.0000000000000007E-2</v>
      </c>
      <c r="N6" s="16">
        <v>678</v>
      </c>
      <c r="O6" s="18">
        <v>7.3999999999999996E-2</v>
      </c>
      <c r="P6" s="16">
        <v>1523</v>
      </c>
      <c r="Q6" s="18">
        <v>0.16600000000000001</v>
      </c>
      <c r="R6" s="16">
        <v>3771</v>
      </c>
      <c r="S6" s="18">
        <v>0.41199999999999998</v>
      </c>
    </row>
    <row r="7" spans="1:19" x14ac:dyDescent="0.2">
      <c r="A7" s="19" t="s">
        <v>17</v>
      </c>
      <c r="B7" s="48">
        <v>55009.1</v>
      </c>
      <c r="C7" s="16">
        <v>44301</v>
      </c>
      <c r="D7" s="16">
        <v>8042</v>
      </c>
      <c r="E7" s="18">
        <v>0.182</v>
      </c>
      <c r="F7" s="16">
        <v>4694</v>
      </c>
      <c r="G7" s="18">
        <v>0.106</v>
      </c>
      <c r="H7" s="16">
        <v>3464</v>
      </c>
      <c r="I7" s="18">
        <v>7.8E-2</v>
      </c>
      <c r="J7" s="16">
        <v>4581</v>
      </c>
      <c r="K7" s="18">
        <v>0.10299999999999999</v>
      </c>
      <c r="L7" s="16">
        <v>6121</v>
      </c>
      <c r="M7" s="18">
        <v>0.13800000000000001</v>
      </c>
      <c r="N7" s="16">
        <v>4776</v>
      </c>
      <c r="O7" s="18">
        <v>0.108</v>
      </c>
      <c r="P7" s="16">
        <v>6324</v>
      </c>
      <c r="Q7" s="18">
        <v>0.14299999999999999</v>
      </c>
      <c r="R7" s="16">
        <v>6299</v>
      </c>
      <c r="S7" s="18">
        <v>0.14199999999999999</v>
      </c>
    </row>
    <row r="8" spans="1:19" x14ac:dyDescent="0.2">
      <c r="A8" s="19" t="s">
        <v>18</v>
      </c>
      <c r="B8" s="48">
        <v>88750</v>
      </c>
      <c r="C8" s="16">
        <v>7942</v>
      </c>
      <c r="D8" s="16">
        <v>1531</v>
      </c>
      <c r="E8" s="18">
        <v>0.193</v>
      </c>
      <c r="F8" s="16">
        <v>517</v>
      </c>
      <c r="G8" s="18">
        <v>6.5000000000000002E-2</v>
      </c>
      <c r="H8" s="16">
        <v>405</v>
      </c>
      <c r="I8" s="18">
        <v>5.0999999999999997E-2</v>
      </c>
      <c r="J8" s="16">
        <v>464</v>
      </c>
      <c r="K8" s="18">
        <v>5.8000000000000003E-2</v>
      </c>
      <c r="L8" s="16">
        <v>790</v>
      </c>
      <c r="M8" s="18">
        <v>9.9000000000000005E-2</v>
      </c>
      <c r="N8" s="16">
        <v>480</v>
      </c>
      <c r="O8" s="18">
        <v>0.06</v>
      </c>
      <c r="P8" s="16">
        <v>867</v>
      </c>
      <c r="Q8" s="18">
        <v>0.109</v>
      </c>
      <c r="R8" s="16">
        <v>2888</v>
      </c>
      <c r="S8" s="18">
        <v>0.36399999999999999</v>
      </c>
    </row>
    <row r="9" spans="1:19" x14ac:dyDescent="0.2">
      <c r="A9" s="19" t="s">
        <v>19</v>
      </c>
      <c r="B9" s="48">
        <v>60510.400000000001</v>
      </c>
      <c r="C9" s="16">
        <v>16565</v>
      </c>
      <c r="D9" s="16">
        <v>1910</v>
      </c>
      <c r="E9" s="18">
        <v>0.115</v>
      </c>
      <c r="F9" s="16">
        <v>1496</v>
      </c>
      <c r="G9" s="18">
        <v>0.09</v>
      </c>
      <c r="H9" s="16">
        <v>1146</v>
      </c>
      <c r="I9" s="18">
        <v>6.9000000000000006E-2</v>
      </c>
      <c r="J9" s="16">
        <v>2257</v>
      </c>
      <c r="K9" s="18">
        <v>0.13600000000000001</v>
      </c>
      <c r="L9" s="16">
        <v>2907</v>
      </c>
      <c r="M9" s="18">
        <v>0.17499999999999999</v>
      </c>
      <c r="N9" s="16">
        <v>1881</v>
      </c>
      <c r="O9" s="18">
        <v>0.114</v>
      </c>
      <c r="P9" s="16">
        <v>2488</v>
      </c>
      <c r="Q9" s="18">
        <v>0.15</v>
      </c>
      <c r="R9" s="16">
        <v>2480</v>
      </c>
      <c r="S9" s="18">
        <v>0.15</v>
      </c>
    </row>
    <row r="10" spans="1:19" x14ac:dyDescent="0.2">
      <c r="A10" s="19" t="s">
        <v>20</v>
      </c>
      <c r="B10" s="48">
        <v>41040.5</v>
      </c>
      <c r="C10" s="16">
        <v>11226</v>
      </c>
      <c r="D10" s="16">
        <v>3473</v>
      </c>
      <c r="E10" s="18">
        <v>0.309</v>
      </c>
      <c r="F10" s="16">
        <v>944</v>
      </c>
      <c r="G10" s="18">
        <v>8.4000000000000005E-2</v>
      </c>
      <c r="H10" s="16">
        <v>859</v>
      </c>
      <c r="I10" s="18">
        <v>7.6999999999999999E-2</v>
      </c>
      <c r="J10" s="16">
        <v>884</v>
      </c>
      <c r="K10" s="18">
        <v>7.9000000000000001E-2</v>
      </c>
      <c r="L10" s="16">
        <v>1346</v>
      </c>
      <c r="M10" s="18">
        <v>0.12</v>
      </c>
      <c r="N10" s="16">
        <v>901</v>
      </c>
      <c r="O10" s="18">
        <v>0.08</v>
      </c>
      <c r="P10" s="16">
        <v>1208</v>
      </c>
      <c r="Q10" s="18">
        <v>0.108</v>
      </c>
      <c r="R10" s="16">
        <v>1611</v>
      </c>
      <c r="S10" s="18">
        <v>0.14399999999999999</v>
      </c>
    </row>
    <row r="11" spans="1:19" x14ac:dyDescent="0.2">
      <c r="A11" s="19" t="s">
        <v>21</v>
      </c>
      <c r="B11" s="48">
        <v>72953.100000000006</v>
      </c>
      <c r="C11" s="16">
        <v>13147</v>
      </c>
      <c r="D11" s="16">
        <v>1805</v>
      </c>
      <c r="E11" s="18">
        <v>0.13700000000000001</v>
      </c>
      <c r="F11" s="16">
        <v>1043</v>
      </c>
      <c r="G11" s="18">
        <v>7.9000000000000001E-2</v>
      </c>
      <c r="H11" s="16">
        <v>757</v>
      </c>
      <c r="I11" s="18">
        <v>5.8000000000000003E-2</v>
      </c>
      <c r="J11" s="16">
        <v>1058</v>
      </c>
      <c r="K11" s="18">
        <v>0.08</v>
      </c>
      <c r="L11" s="16">
        <v>2110</v>
      </c>
      <c r="M11" s="18">
        <v>0.16</v>
      </c>
      <c r="N11" s="16">
        <v>1605</v>
      </c>
      <c r="O11" s="18">
        <v>0.122</v>
      </c>
      <c r="P11" s="16">
        <v>2431</v>
      </c>
      <c r="Q11" s="18">
        <v>0.185</v>
      </c>
      <c r="R11" s="16">
        <v>2338</v>
      </c>
      <c r="S11" s="18">
        <v>0.17799999999999999</v>
      </c>
    </row>
    <row r="12" spans="1:19" x14ac:dyDescent="0.2">
      <c r="A12" s="19" t="s">
        <v>22</v>
      </c>
      <c r="B12" s="48">
        <v>97068.800000000003</v>
      </c>
      <c r="C12" s="16">
        <v>16423</v>
      </c>
      <c r="D12" s="16">
        <v>1703</v>
      </c>
      <c r="E12" s="18">
        <v>0.104</v>
      </c>
      <c r="F12" s="16">
        <v>1128</v>
      </c>
      <c r="G12" s="18">
        <v>6.9000000000000006E-2</v>
      </c>
      <c r="H12" s="16">
        <v>757</v>
      </c>
      <c r="I12" s="18">
        <v>4.5999999999999999E-2</v>
      </c>
      <c r="J12" s="16">
        <v>969</v>
      </c>
      <c r="K12" s="18">
        <v>5.8999999999999997E-2</v>
      </c>
      <c r="L12" s="16">
        <v>1904</v>
      </c>
      <c r="M12" s="18">
        <v>0.11600000000000001</v>
      </c>
      <c r="N12" s="16">
        <v>1983</v>
      </c>
      <c r="O12" s="18">
        <v>0.121</v>
      </c>
      <c r="P12" s="16">
        <v>3435</v>
      </c>
      <c r="Q12" s="18">
        <v>0.20899999999999999</v>
      </c>
      <c r="R12" s="16">
        <v>4544</v>
      </c>
      <c r="S12" s="18">
        <v>0.27700000000000002</v>
      </c>
    </row>
    <row r="13" spans="1:19" x14ac:dyDescent="0.2">
      <c r="A13" s="19" t="s">
        <v>23</v>
      </c>
      <c r="B13" s="48">
        <v>42403.8</v>
      </c>
      <c r="C13" s="16">
        <v>269</v>
      </c>
      <c r="D13" s="16">
        <v>59</v>
      </c>
      <c r="E13" s="18">
        <v>0.219</v>
      </c>
      <c r="F13" s="16">
        <v>24</v>
      </c>
      <c r="G13" s="18">
        <v>8.8999999999999996E-2</v>
      </c>
      <c r="H13" s="16">
        <v>39</v>
      </c>
      <c r="I13" s="18">
        <v>0.14499999999999999</v>
      </c>
      <c r="J13" s="16">
        <v>28</v>
      </c>
      <c r="K13" s="18">
        <v>0.104</v>
      </c>
      <c r="L13" s="16">
        <v>41</v>
      </c>
      <c r="M13" s="18">
        <v>0.152</v>
      </c>
      <c r="N13" s="16">
        <v>27</v>
      </c>
      <c r="O13" s="18">
        <v>0.1</v>
      </c>
      <c r="P13" s="16">
        <v>51</v>
      </c>
      <c r="Q13" s="18">
        <v>0.19</v>
      </c>
      <c r="R13" s="16">
        <v>0</v>
      </c>
      <c r="S13" s="18">
        <v>0</v>
      </c>
    </row>
    <row r="14" spans="1:19" x14ac:dyDescent="0.2">
      <c r="A14" s="19" t="s">
        <v>24</v>
      </c>
      <c r="B14" s="48">
        <v>55968.4</v>
      </c>
      <c r="C14" s="16">
        <v>9173</v>
      </c>
      <c r="D14" s="16">
        <v>1439</v>
      </c>
      <c r="E14" s="18">
        <v>0.157</v>
      </c>
      <c r="F14" s="16">
        <v>763</v>
      </c>
      <c r="G14" s="18">
        <v>8.3000000000000004E-2</v>
      </c>
      <c r="H14" s="16">
        <v>827</v>
      </c>
      <c r="I14" s="18">
        <v>0.09</v>
      </c>
      <c r="J14" s="16">
        <v>1123</v>
      </c>
      <c r="K14" s="18">
        <v>0.122</v>
      </c>
      <c r="L14" s="16">
        <v>1457</v>
      </c>
      <c r="M14" s="18">
        <v>0.159</v>
      </c>
      <c r="N14" s="16">
        <v>1347</v>
      </c>
      <c r="O14" s="18">
        <v>0.14699999999999999</v>
      </c>
      <c r="P14" s="16">
        <v>1297</v>
      </c>
      <c r="Q14" s="18">
        <v>0.14099999999999999</v>
      </c>
      <c r="R14" s="16">
        <v>920</v>
      </c>
      <c r="S14" s="18">
        <v>0.1</v>
      </c>
    </row>
    <row r="15" spans="1:19" x14ac:dyDescent="0.2">
      <c r="A15" s="19" t="s">
        <v>47</v>
      </c>
      <c r="B15" s="48">
        <v>42803</v>
      </c>
      <c r="C15" s="16">
        <v>6687</v>
      </c>
      <c r="D15" s="16">
        <v>1899</v>
      </c>
      <c r="E15" s="18">
        <v>0.28399999999999997</v>
      </c>
      <c r="F15" s="16">
        <v>602</v>
      </c>
      <c r="G15" s="18">
        <v>0.09</v>
      </c>
      <c r="H15" s="16">
        <v>510</v>
      </c>
      <c r="I15" s="18">
        <v>7.5999999999999998E-2</v>
      </c>
      <c r="J15" s="16">
        <v>641</v>
      </c>
      <c r="K15" s="18">
        <v>9.6000000000000002E-2</v>
      </c>
      <c r="L15" s="16">
        <v>1301</v>
      </c>
      <c r="M15" s="18">
        <v>0.19500000000000001</v>
      </c>
      <c r="N15" s="16">
        <v>671</v>
      </c>
      <c r="O15" s="18">
        <v>0.1</v>
      </c>
      <c r="P15" s="16">
        <v>538</v>
      </c>
      <c r="Q15" s="18">
        <v>0.08</v>
      </c>
      <c r="R15" s="16">
        <v>525</v>
      </c>
      <c r="S15" s="18">
        <v>7.9000000000000001E-2</v>
      </c>
    </row>
    <row r="16" spans="1:19" x14ac:dyDescent="0.2">
      <c r="A16" s="19" t="s">
        <v>48</v>
      </c>
      <c r="B16" s="48">
        <v>103998.6</v>
      </c>
      <c r="C16" s="16">
        <v>5086</v>
      </c>
      <c r="D16" s="16">
        <v>286</v>
      </c>
      <c r="E16" s="18">
        <v>5.6000000000000001E-2</v>
      </c>
      <c r="F16" s="16">
        <v>192</v>
      </c>
      <c r="G16" s="18">
        <v>3.7999999999999999E-2</v>
      </c>
      <c r="H16" s="16">
        <v>190</v>
      </c>
      <c r="I16" s="18">
        <v>3.6999999999999998E-2</v>
      </c>
      <c r="J16" s="16">
        <v>266</v>
      </c>
      <c r="K16" s="18">
        <v>5.1999999999999998E-2</v>
      </c>
      <c r="L16" s="16">
        <v>825</v>
      </c>
      <c r="M16" s="18">
        <v>0.16200000000000001</v>
      </c>
      <c r="N16" s="16">
        <v>673</v>
      </c>
      <c r="O16" s="18">
        <v>0.13200000000000001</v>
      </c>
      <c r="P16" s="16">
        <v>1148</v>
      </c>
      <c r="Q16" s="18">
        <v>0.22600000000000001</v>
      </c>
      <c r="R16" s="16">
        <v>1506</v>
      </c>
      <c r="S16" s="18">
        <v>0.29599999999999999</v>
      </c>
    </row>
    <row r="17" spans="1:19" x14ac:dyDescent="0.2">
      <c r="A17" s="19" t="s">
        <v>27</v>
      </c>
      <c r="B17" s="48">
        <v>84603.6</v>
      </c>
      <c r="C17" s="16">
        <v>11482</v>
      </c>
      <c r="D17" s="16">
        <v>1031</v>
      </c>
      <c r="E17" s="18">
        <v>0.09</v>
      </c>
      <c r="F17" s="16">
        <v>721</v>
      </c>
      <c r="G17" s="18">
        <v>6.3E-2</v>
      </c>
      <c r="H17" s="16">
        <v>637</v>
      </c>
      <c r="I17" s="18">
        <v>5.5E-2</v>
      </c>
      <c r="J17" s="16">
        <v>1111</v>
      </c>
      <c r="K17" s="18">
        <v>9.7000000000000003E-2</v>
      </c>
      <c r="L17" s="16">
        <v>1679</v>
      </c>
      <c r="M17" s="18">
        <v>0.14599999999999999</v>
      </c>
      <c r="N17" s="16">
        <v>1463</v>
      </c>
      <c r="O17" s="18">
        <v>0.127</v>
      </c>
      <c r="P17" s="16">
        <v>2348</v>
      </c>
      <c r="Q17" s="18">
        <v>0.20399999999999999</v>
      </c>
      <c r="R17" s="16">
        <v>2492</v>
      </c>
      <c r="S17" s="18">
        <v>0.217</v>
      </c>
    </row>
    <row r="18" spans="1:19" x14ac:dyDescent="0.2">
      <c r="A18" s="19" t="s">
        <v>28</v>
      </c>
      <c r="B18" s="48">
        <v>30534.3</v>
      </c>
      <c r="C18" s="16">
        <v>19899</v>
      </c>
      <c r="D18" s="16">
        <v>6340</v>
      </c>
      <c r="E18" s="18">
        <v>0.31900000000000001</v>
      </c>
      <c r="F18" s="16">
        <v>2449</v>
      </c>
      <c r="G18" s="18">
        <v>0.123</v>
      </c>
      <c r="H18" s="16">
        <v>2084</v>
      </c>
      <c r="I18" s="18">
        <v>0.105</v>
      </c>
      <c r="J18" s="16">
        <v>2216</v>
      </c>
      <c r="K18" s="18">
        <v>0.111</v>
      </c>
      <c r="L18" s="16">
        <v>2107</v>
      </c>
      <c r="M18" s="18">
        <v>0.106</v>
      </c>
      <c r="N18" s="16">
        <v>1581</v>
      </c>
      <c r="O18" s="18">
        <v>7.9000000000000001E-2</v>
      </c>
      <c r="P18" s="16">
        <v>1806</v>
      </c>
      <c r="Q18" s="18">
        <v>9.0999999999999998E-2</v>
      </c>
      <c r="R18" s="16">
        <v>1316</v>
      </c>
      <c r="S18" s="18">
        <v>6.6000000000000003E-2</v>
      </c>
    </row>
    <row r="19" spans="1:19" x14ac:dyDescent="0.2">
      <c r="A19" s="19" t="s">
        <v>29</v>
      </c>
      <c r="B19" s="48">
        <v>111541.1</v>
      </c>
      <c r="C19" s="16">
        <v>16730</v>
      </c>
      <c r="D19" s="16">
        <v>2068</v>
      </c>
      <c r="E19" s="18">
        <v>0.124</v>
      </c>
      <c r="F19" s="16">
        <v>1176</v>
      </c>
      <c r="G19" s="18">
        <v>7.0000000000000007E-2</v>
      </c>
      <c r="H19" s="16">
        <v>709</v>
      </c>
      <c r="I19" s="18">
        <v>4.2000000000000003E-2</v>
      </c>
      <c r="J19" s="16">
        <v>872</v>
      </c>
      <c r="K19" s="18">
        <v>5.1999999999999998E-2</v>
      </c>
      <c r="L19" s="16">
        <v>1319</v>
      </c>
      <c r="M19" s="18">
        <v>7.9000000000000001E-2</v>
      </c>
      <c r="N19" s="16">
        <v>1559</v>
      </c>
      <c r="O19" s="18">
        <v>9.2999999999999999E-2</v>
      </c>
      <c r="P19" s="16">
        <v>2941</v>
      </c>
      <c r="Q19" s="18">
        <v>0.17599999999999999</v>
      </c>
      <c r="R19" s="16">
        <v>6086</v>
      </c>
      <c r="S19" s="18">
        <v>0.36399999999999999</v>
      </c>
    </row>
    <row r="20" spans="1:19" x14ac:dyDescent="0.2">
      <c r="A20" s="19" t="s">
        <v>30</v>
      </c>
      <c r="B20" s="48">
        <v>153545.20000000001</v>
      </c>
      <c r="C20" s="16">
        <v>2628</v>
      </c>
      <c r="D20" s="16">
        <v>181</v>
      </c>
      <c r="E20" s="18">
        <v>6.9000000000000006E-2</v>
      </c>
      <c r="F20" s="16">
        <v>87</v>
      </c>
      <c r="G20" s="18">
        <v>3.3000000000000002E-2</v>
      </c>
      <c r="H20" s="16">
        <v>55</v>
      </c>
      <c r="I20" s="18">
        <v>2.1000000000000001E-2</v>
      </c>
      <c r="J20" s="16">
        <v>94</v>
      </c>
      <c r="K20" s="18">
        <v>3.5999999999999997E-2</v>
      </c>
      <c r="L20" s="16">
        <v>169</v>
      </c>
      <c r="M20" s="18">
        <v>6.4000000000000001E-2</v>
      </c>
      <c r="N20" s="16">
        <v>281</v>
      </c>
      <c r="O20" s="18">
        <v>0.107</v>
      </c>
      <c r="P20" s="16">
        <v>418</v>
      </c>
      <c r="Q20" s="18">
        <v>0.159</v>
      </c>
      <c r="R20" s="16">
        <v>1343</v>
      </c>
      <c r="S20" s="18">
        <v>0.51100000000000001</v>
      </c>
    </row>
    <row r="21" spans="1:19" x14ac:dyDescent="0.2">
      <c r="A21" s="19" t="s">
        <v>49</v>
      </c>
      <c r="B21" s="48">
        <v>86949.6</v>
      </c>
      <c r="C21" s="16">
        <v>16819</v>
      </c>
      <c r="D21" s="16">
        <v>2882</v>
      </c>
      <c r="E21" s="18">
        <v>0.17100000000000001</v>
      </c>
      <c r="F21" s="16">
        <v>1403</v>
      </c>
      <c r="G21" s="18">
        <v>8.3000000000000004E-2</v>
      </c>
      <c r="H21" s="16">
        <v>913</v>
      </c>
      <c r="I21" s="18">
        <v>5.3999999999999999E-2</v>
      </c>
      <c r="J21" s="16">
        <v>933</v>
      </c>
      <c r="K21" s="18">
        <v>5.5E-2</v>
      </c>
      <c r="L21" s="16">
        <v>1790</v>
      </c>
      <c r="M21" s="18">
        <v>0.106</v>
      </c>
      <c r="N21" s="16">
        <v>1022</v>
      </c>
      <c r="O21" s="18">
        <v>6.0999999999999999E-2</v>
      </c>
      <c r="P21" s="16">
        <v>1833</v>
      </c>
      <c r="Q21" s="18">
        <v>0.109</v>
      </c>
      <c r="R21" s="16">
        <v>6043</v>
      </c>
      <c r="S21" s="18">
        <v>0.35899999999999999</v>
      </c>
    </row>
    <row r="22" spans="1:19" x14ac:dyDescent="0.2">
      <c r="A22" s="19" t="s">
        <v>50</v>
      </c>
      <c r="B22" s="48">
        <v>97437.9</v>
      </c>
      <c r="C22" s="16">
        <v>3558</v>
      </c>
      <c r="D22" s="16">
        <v>515</v>
      </c>
      <c r="E22" s="18">
        <v>0.14499999999999999</v>
      </c>
      <c r="F22" s="16">
        <v>229</v>
      </c>
      <c r="G22" s="18">
        <v>6.4000000000000001E-2</v>
      </c>
      <c r="H22" s="16">
        <v>171</v>
      </c>
      <c r="I22" s="18">
        <v>4.8000000000000001E-2</v>
      </c>
      <c r="J22" s="16">
        <v>245</v>
      </c>
      <c r="K22" s="18">
        <v>6.9000000000000006E-2</v>
      </c>
      <c r="L22" s="16">
        <v>330</v>
      </c>
      <c r="M22" s="18">
        <v>9.2999999999999999E-2</v>
      </c>
      <c r="N22" s="16">
        <v>322</v>
      </c>
      <c r="O22" s="18">
        <v>9.0999999999999998E-2</v>
      </c>
      <c r="P22" s="16">
        <v>504</v>
      </c>
      <c r="Q22" s="18">
        <v>0.14199999999999999</v>
      </c>
      <c r="R22" s="16">
        <v>1242</v>
      </c>
      <c r="S22" s="18">
        <v>0.34899999999999998</v>
      </c>
    </row>
    <row r="23" spans="1:19" x14ac:dyDescent="0.2">
      <c r="A23" s="19" t="s">
        <v>33</v>
      </c>
      <c r="B23" s="48">
        <v>94538.4</v>
      </c>
      <c r="C23" s="16">
        <v>13933</v>
      </c>
      <c r="D23" s="16">
        <v>1040</v>
      </c>
      <c r="E23" s="18">
        <v>7.4999999999999997E-2</v>
      </c>
      <c r="F23" s="16">
        <v>1114</v>
      </c>
      <c r="G23" s="18">
        <v>0.08</v>
      </c>
      <c r="H23" s="16">
        <v>744</v>
      </c>
      <c r="I23" s="18">
        <v>5.2999999999999999E-2</v>
      </c>
      <c r="J23" s="16">
        <v>1081</v>
      </c>
      <c r="K23" s="18">
        <v>7.8E-2</v>
      </c>
      <c r="L23" s="16">
        <v>1959</v>
      </c>
      <c r="M23" s="18">
        <v>0.14099999999999999</v>
      </c>
      <c r="N23" s="16">
        <v>1316</v>
      </c>
      <c r="O23" s="18">
        <v>9.4E-2</v>
      </c>
      <c r="P23" s="16">
        <v>3032</v>
      </c>
      <c r="Q23" s="18">
        <v>0.218</v>
      </c>
      <c r="R23" s="16">
        <v>3647</v>
      </c>
      <c r="S23" s="18">
        <v>0.26200000000000001</v>
      </c>
    </row>
    <row r="29" spans="1:19" x14ac:dyDescent="0.2">
      <c r="B29" s="46"/>
    </row>
    <row r="30" spans="1:19" x14ac:dyDescent="0.2">
      <c r="A30" t="s">
        <v>34</v>
      </c>
    </row>
    <row r="31" spans="1:19" x14ac:dyDescent="0.2">
      <c r="A31" s="47" t="s">
        <v>207</v>
      </c>
    </row>
    <row r="32" spans="1:19" x14ac:dyDescent="0.2">
      <c r="A32" s="47" t="s">
        <v>208</v>
      </c>
    </row>
    <row r="33" spans="1:1" x14ac:dyDescent="0.2">
      <c r="A33" s="47" t="s">
        <v>53</v>
      </c>
    </row>
    <row r="34" spans="1:1" x14ac:dyDescent="0.2">
      <c r="A34" s="47" t="s">
        <v>209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rgb="FFA9D08E"/>
  </sheetPr>
  <dimension ref="A1:S34"/>
  <sheetViews>
    <sheetView workbookViewId="0">
      <pane xSplit="1" topLeftCell="B1" activePane="topRight" state="frozen"/>
      <selection activeCell="A4" sqref="A4"/>
      <selection pane="topRight" activeCell="J32" sqref="J32"/>
    </sheetView>
  </sheetViews>
  <sheetFormatPr baseColWidth="10" defaultColWidth="8.83203125" defaultRowHeight="15" x14ac:dyDescent="0.2"/>
  <cols>
    <col min="1" max="1" width="29.33203125" customWidth="1"/>
    <col min="2" max="2" width="14.83203125" bestFit="1" customWidth="1"/>
    <col min="3" max="3" width="16.5" bestFit="1" customWidth="1"/>
    <col min="4" max="4" width="11.5" customWidth="1"/>
    <col min="5" max="5" width="8.5" customWidth="1"/>
    <col min="6" max="6" width="11.5" customWidth="1"/>
    <col min="7" max="7" width="8" customWidth="1"/>
    <col min="8" max="8" width="10.6640625" customWidth="1"/>
    <col min="9" max="9" width="7.6640625" customWidth="1"/>
    <col min="10" max="10" width="10.5" customWidth="1"/>
    <col min="11" max="11" width="9" customWidth="1"/>
    <col min="12" max="12" width="10.33203125" customWidth="1"/>
    <col min="13" max="13" width="8.5" customWidth="1"/>
    <col min="14" max="14" width="10.5" customWidth="1"/>
    <col min="15" max="15" width="7.5" customWidth="1"/>
    <col min="16" max="16" width="12" customWidth="1"/>
    <col min="17" max="17" width="7.6640625" customWidth="1"/>
    <col min="18" max="18" width="10.83203125" customWidth="1"/>
    <col min="19" max="19" width="7.5" customWidth="1"/>
  </cols>
  <sheetData>
    <row r="1" spans="1:19" ht="21" x14ac:dyDescent="0.25">
      <c r="A1" s="11" t="s">
        <v>210</v>
      </c>
    </row>
    <row r="3" spans="1:19" ht="32" x14ac:dyDescent="0.2">
      <c r="A3" s="120"/>
      <c r="B3" s="120" t="s">
        <v>197</v>
      </c>
      <c r="C3" s="120" t="s">
        <v>211</v>
      </c>
      <c r="D3" s="120" t="s">
        <v>199</v>
      </c>
      <c r="E3" s="15" t="s">
        <v>3</v>
      </c>
      <c r="F3" s="120" t="s">
        <v>200</v>
      </c>
      <c r="G3" s="120" t="s">
        <v>3</v>
      </c>
      <c r="H3" s="120" t="s">
        <v>201</v>
      </c>
      <c r="I3" s="120" t="s">
        <v>3</v>
      </c>
      <c r="J3" s="120" t="s">
        <v>202</v>
      </c>
      <c r="K3" s="120" t="s">
        <v>3</v>
      </c>
      <c r="L3" s="120" t="s">
        <v>203</v>
      </c>
      <c r="M3" s="120" t="s">
        <v>3</v>
      </c>
      <c r="N3" s="120" t="s">
        <v>204</v>
      </c>
      <c r="O3" s="120" t="s">
        <v>3</v>
      </c>
      <c r="P3" s="120" t="s">
        <v>205</v>
      </c>
      <c r="Q3" s="120" t="s">
        <v>3</v>
      </c>
      <c r="R3" s="120" t="s">
        <v>206</v>
      </c>
      <c r="S3" s="120" t="s">
        <v>3</v>
      </c>
    </row>
    <row r="4" spans="1:19" x14ac:dyDescent="0.2">
      <c r="A4" s="25" t="s">
        <v>44</v>
      </c>
      <c r="B4" s="43">
        <v>80944</v>
      </c>
      <c r="C4" s="16">
        <v>79114031</v>
      </c>
      <c r="D4" s="16">
        <v>4741099</v>
      </c>
      <c r="E4" s="18">
        <v>5.9927410347729596E-2</v>
      </c>
      <c r="F4" s="16">
        <v>4904304</v>
      </c>
      <c r="G4" s="18">
        <v>6.1990318759007491E-2</v>
      </c>
      <c r="H4" s="16">
        <v>5896133</v>
      </c>
      <c r="I4" s="18">
        <v>7.4527020371392777E-2</v>
      </c>
      <c r="J4" s="16">
        <v>8950976</v>
      </c>
      <c r="K4" s="18">
        <v>0.11314018369257407</v>
      </c>
      <c r="L4" s="16">
        <v>13867897</v>
      </c>
      <c r="M4" s="18">
        <v>0.17528998111599192</v>
      </c>
      <c r="N4" s="16">
        <v>11374396</v>
      </c>
      <c r="O4" s="18">
        <v>0.14377217108302826</v>
      </c>
      <c r="P4" s="16">
        <v>14620038</v>
      </c>
      <c r="Q4" s="18">
        <v>0.18479703050398227</v>
      </c>
      <c r="R4" s="16">
        <v>14759188</v>
      </c>
      <c r="S4" s="18">
        <v>0.18655588412629359</v>
      </c>
    </row>
    <row r="5" spans="1:19" x14ac:dyDescent="0.2">
      <c r="A5" s="25" t="s">
        <v>10</v>
      </c>
      <c r="B5" s="43">
        <v>108348</v>
      </c>
      <c r="C5" s="16">
        <v>1659300</v>
      </c>
      <c r="D5" s="16">
        <v>79609</v>
      </c>
      <c r="E5" s="18">
        <v>4.7977460374856867E-2</v>
      </c>
      <c r="F5" s="16">
        <v>72935</v>
      </c>
      <c r="G5" s="18">
        <v>4.3955282347978061E-2</v>
      </c>
      <c r="H5" s="16">
        <v>88010</v>
      </c>
      <c r="I5" s="18">
        <v>5.3040438739227383E-2</v>
      </c>
      <c r="J5" s="16">
        <v>132823</v>
      </c>
      <c r="K5" s="18">
        <v>8.004761043813656E-2</v>
      </c>
      <c r="L5" s="16">
        <v>220200</v>
      </c>
      <c r="M5" s="18">
        <v>0.13270656300849756</v>
      </c>
      <c r="N5" s="16">
        <v>210440</v>
      </c>
      <c r="O5" s="18">
        <v>0.12682456457542338</v>
      </c>
      <c r="P5" s="16">
        <v>347822</v>
      </c>
      <c r="Q5" s="18">
        <v>0.20961971915868138</v>
      </c>
      <c r="R5" s="16">
        <v>507461</v>
      </c>
      <c r="S5" s="18">
        <v>0.30582836135719882</v>
      </c>
    </row>
    <row r="6" spans="1:19" x14ac:dyDescent="0.2">
      <c r="A6" s="16" t="s">
        <v>11</v>
      </c>
      <c r="B6" s="43">
        <v>95885</v>
      </c>
      <c r="C6" s="16">
        <v>129542</v>
      </c>
      <c r="D6" s="16">
        <v>12831</v>
      </c>
      <c r="E6" s="18">
        <v>9.9048957094996212E-2</v>
      </c>
      <c r="F6" s="16">
        <v>9842</v>
      </c>
      <c r="G6" s="18">
        <v>7.5975359342915813E-2</v>
      </c>
      <c r="H6" s="16">
        <v>9180</v>
      </c>
      <c r="I6" s="18">
        <v>7.0865047629340289E-2</v>
      </c>
      <c r="J6" s="16">
        <v>12065</v>
      </c>
      <c r="K6" s="18">
        <v>9.31358169551188E-2</v>
      </c>
      <c r="L6" s="16">
        <v>16455</v>
      </c>
      <c r="M6" s="18">
        <v>0.12702443994997761</v>
      </c>
      <c r="N6" s="16">
        <v>13347</v>
      </c>
      <c r="O6" s="18">
        <v>0.10303222121010946</v>
      </c>
      <c r="P6" s="16">
        <v>21376</v>
      </c>
      <c r="Q6" s="18">
        <v>0.16501211962143553</v>
      </c>
      <c r="R6" s="16">
        <v>34446</v>
      </c>
      <c r="S6" s="18">
        <v>0.26590603819610631</v>
      </c>
    </row>
    <row r="7" spans="1:19" x14ac:dyDescent="0.2">
      <c r="A7" s="19" t="s">
        <v>12</v>
      </c>
      <c r="B7" s="43">
        <v>73975</v>
      </c>
      <c r="C7" s="16">
        <v>1597</v>
      </c>
      <c r="D7" s="16">
        <v>26</v>
      </c>
      <c r="E7" s="18">
        <v>1.6280525986224169E-2</v>
      </c>
      <c r="F7" s="16">
        <v>187</v>
      </c>
      <c r="G7" s="18">
        <v>0.11709455228553538</v>
      </c>
      <c r="H7" s="16">
        <v>121</v>
      </c>
      <c r="I7" s="18">
        <v>7.576706324358172E-2</v>
      </c>
      <c r="J7" s="16">
        <v>156</v>
      </c>
      <c r="K7" s="18">
        <v>9.7683155917345027E-2</v>
      </c>
      <c r="L7" s="16">
        <v>329</v>
      </c>
      <c r="M7" s="18">
        <v>0.20601127113337508</v>
      </c>
      <c r="N7" s="16">
        <v>191</v>
      </c>
      <c r="O7" s="18">
        <v>0.11959924859110833</v>
      </c>
      <c r="P7" s="16">
        <v>331</v>
      </c>
      <c r="Q7" s="18">
        <v>0.20726361928616155</v>
      </c>
      <c r="R7" s="16">
        <v>256</v>
      </c>
      <c r="S7" s="18">
        <v>0.16030056355666875</v>
      </c>
    </row>
    <row r="8" spans="1:19" x14ac:dyDescent="0.2">
      <c r="A8" s="19" t="s">
        <v>45</v>
      </c>
      <c r="B8" s="43">
        <v>197348</v>
      </c>
      <c r="C8" s="16">
        <v>3216</v>
      </c>
      <c r="D8" s="16">
        <v>135</v>
      </c>
      <c r="E8" s="18">
        <v>4.1977611940298511E-2</v>
      </c>
      <c r="F8" s="16">
        <v>47</v>
      </c>
      <c r="G8" s="18">
        <v>1.4614427860696517E-2</v>
      </c>
      <c r="H8" s="16">
        <v>84</v>
      </c>
      <c r="I8" s="18">
        <v>2.6119402985074626E-2</v>
      </c>
      <c r="J8" s="16">
        <v>225</v>
      </c>
      <c r="K8" s="18">
        <v>6.9962686567164173E-2</v>
      </c>
      <c r="L8" s="16">
        <v>182</v>
      </c>
      <c r="M8" s="18">
        <v>5.6592039800995024E-2</v>
      </c>
      <c r="N8" s="16">
        <v>239</v>
      </c>
      <c r="O8" s="18">
        <v>7.4315920398009952E-2</v>
      </c>
      <c r="P8" s="16">
        <v>321</v>
      </c>
      <c r="Q8" s="18">
        <v>9.9813432835820892E-2</v>
      </c>
      <c r="R8" s="16">
        <v>1983</v>
      </c>
      <c r="S8" s="18">
        <v>0.61660447761194026</v>
      </c>
    </row>
    <row r="9" spans="1:19" x14ac:dyDescent="0.2">
      <c r="A9" s="19" t="s">
        <v>46</v>
      </c>
      <c r="B9" s="43">
        <v>205960</v>
      </c>
      <c r="C9" s="16">
        <v>1633</v>
      </c>
      <c r="D9" s="16">
        <v>0</v>
      </c>
      <c r="E9" s="18">
        <v>0</v>
      </c>
      <c r="F9" s="16">
        <v>24</v>
      </c>
      <c r="G9" s="18">
        <v>1.4696876913655848E-2</v>
      </c>
      <c r="H9" s="16">
        <v>11</v>
      </c>
      <c r="I9" s="18">
        <v>6.7360685854255973E-3</v>
      </c>
      <c r="J9" s="16">
        <v>22</v>
      </c>
      <c r="K9" s="18">
        <v>1.3472137170851195E-2</v>
      </c>
      <c r="L9" s="16">
        <v>55</v>
      </c>
      <c r="M9" s="18">
        <v>3.3680342927127987E-2</v>
      </c>
      <c r="N9" s="16">
        <v>56</v>
      </c>
      <c r="O9" s="18">
        <v>3.4292712798530314E-2</v>
      </c>
      <c r="P9" s="16">
        <v>261</v>
      </c>
      <c r="Q9" s="18">
        <v>0.15982853643600733</v>
      </c>
      <c r="R9" s="16">
        <v>1204</v>
      </c>
      <c r="S9" s="18">
        <v>0.73729332516840174</v>
      </c>
    </row>
    <row r="10" spans="1:19" x14ac:dyDescent="0.2">
      <c r="A10" s="19" t="s">
        <v>15</v>
      </c>
      <c r="B10" s="43">
        <v>92364</v>
      </c>
      <c r="C10" s="16">
        <v>7851</v>
      </c>
      <c r="D10" s="16">
        <v>648</v>
      </c>
      <c r="E10" s="18">
        <v>8.2537256400458545E-2</v>
      </c>
      <c r="F10" s="16">
        <v>466</v>
      </c>
      <c r="G10" s="18">
        <v>5.9355496115144568E-2</v>
      </c>
      <c r="H10" s="16">
        <v>439</v>
      </c>
      <c r="I10" s="18">
        <v>5.5916443765125459E-2</v>
      </c>
      <c r="J10" s="16">
        <v>497</v>
      </c>
      <c r="K10" s="18">
        <v>6.3304037702203539E-2</v>
      </c>
      <c r="L10" s="16">
        <v>1133</v>
      </c>
      <c r="M10" s="18">
        <v>0.14431282639154247</v>
      </c>
      <c r="N10" s="16">
        <v>1069</v>
      </c>
      <c r="O10" s="18">
        <v>0.1361609985989046</v>
      </c>
      <c r="P10" s="16">
        <v>1849</v>
      </c>
      <c r="Q10" s="18">
        <v>0.23551139982167876</v>
      </c>
      <c r="R10" s="16">
        <v>1750</v>
      </c>
      <c r="S10" s="18">
        <v>0.22290154120494204</v>
      </c>
    </row>
    <row r="11" spans="1:19" x14ac:dyDescent="0.2">
      <c r="A11" s="19" t="s">
        <v>16</v>
      </c>
      <c r="B11" s="43">
        <v>162386</v>
      </c>
      <c r="C11" s="16">
        <v>4578</v>
      </c>
      <c r="D11" s="16">
        <v>493</v>
      </c>
      <c r="E11" s="18">
        <v>0.10768894713848842</v>
      </c>
      <c r="F11" s="16">
        <v>155</v>
      </c>
      <c r="G11" s="18">
        <v>3.3857579729139359E-2</v>
      </c>
      <c r="H11" s="16">
        <v>151</v>
      </c>
      <c r="I11" s="18">
        <v>3.2983835736129313E-2</v>
      </c>
      <c r="J11" s="16">
        <v>214</v>
      </c>
      <c r="K11" s="18">
        <v>4.6745303626037571E-2</v>
      </c>
      <c r="L11" s="16">
        <v>196</v>
      </c>
      <c r="M11" s="18">
        <v>4.2813455657492352E-2</v>
      </c>
      <c r="N11" s="16">
        <v>189</v>
      </c>
      <c r="O11" s="18">
        <v>4.1284403669724773E-2</v>
      </c>
      <c r="P11" s="16">
        <v>728</v>
      </c>
      <c r="Q11" s="18">
        <v>0.15902140672782875</v>
      </c>
      <c r="R11" s="16">
        <v>2452</v>
      </c>
      <c r="S11" s="18">
        <v>0.53560506771515948</v>
      </c>
    </row>
    <row r="12" spans="1:19" x14ac:dyDescent="0.2">
      <c r="A12" s="19" t="s">
        <v>17</v>
      </c>
      <c r="B12" s="43">
        <v>59966</v>
      </c>
      <c r="C12" s="16">
        <v>26713</v>
      </c>
      <c r="D12" s="16">
        <v>3264</v>
      </c>
      <c r="E12" s="18">
        <v>0.1221876988732078</v>
      </c>
      <c r="F12" s="16">
        <v>2754</v>
      </c>
      <c r="G12" s="18">
        <v>0.10309587092426908</v>
      </c>
      <c r="H12" s="16">
        <v>2348</v>
      </c>
      <c r="I12" s="18">
        <v>8.7897278478643356E-2</v>
      </c>
      <c r="J12" s="16">
        <v>3098</v>
      </c>
      <c r="K12" s="18">
        <v>0.11597349605061207</v>
      </c>
      <c r="L12" s="16">
        <v>3983</v>
      </c>
      <c r="M12" s="18">
        <v>0.14910343278553514</v>
      </c>
      <c r="N12" s="16">
        <v>3418</v>
      </c>
      <c r="O12" s="18">
        <v>0.12795268221465203</v>
      </c>
      <c r="P12" s="16">
        <v>4094</v>
      </c>
      <c r="Q12" s="18">
        <v>0.15325871298618651</v>
      </c>
      <c r="R12" s="16">
        <v>3754</v>
      </c>
      <c r="S12" s="18">
        <v>0.14053082768689401</v>
      </c>
    </row>
    <row r="13" spans="1:19" x14ac:dyDescent="0.2">
      <c r="A13" s="19" t="s">
        <v>18</v>
      </c>
      <c r="B13" s="43">
        <v>120798</v>
      </c>
      <c r="C13" s="16">
        <v>3334</v>
      </c>
      <c r="D13" s="16">
        <v>283</v>
      </c>
      <c r="E13" s="18">
        <v>8.4883023395320931E-2</v>
      </c>
      <c r="F13" s="16">
        <v>311</v>
      </c>
      <c r="G13" s="18">
        <v>9.3281343731253755E-2</v>
      </c>
      <c r="H13" s="16">
        <v>194</v>
      </c>
      <c r="I13" s="18">
        <v>5.8188362327534493E-2</v>
      </c>
      <c r="J13" s="16">
        <v>298</v>
      </c>
      <c r="K13" s="18">
        <v>8.9382123575284939E-2</v>
      </c>
      <c r="L13" s="16">
        <v>290</v>
      </c>
      <c r="M13" s="18">
        <v>8.6982603479304144E-2</v>
      </c>
      <c r="N13" s="16">
        <v>192</v>
      </c>
      <c r="O13" s="18">
        <v>5.7588482303539294E-2</v>
      </c>
      <c r="P13" s="16">
        <v>246</v>
      </c>
      <c r="Q13" s="18">
        <v>7.3785242951409716E-2</v>
      </c>
      <c r="R13" s="16">
        <v>1520</v>
      </c>
      <c r="S13" s="18">
        <v>0.45590881823635271</v>
      </c>
    </row>
    <row r="14" spans="1:19" x14ac:dyDescent="0.2">
      <c r="A14" s="19" t="s">
        <v>19</v>
      </c>
      <c r="B14" s="43">
        <v>56426</v>
      </c>
      <c r="C14" s="16">
        <v>9667</v>
      </c>
      <c r="D14" s="16">
        <v>766</v>
      </c>
      <c r="E14" s="18">
        <v>7.9238646943208854E-2</v>
      </c>
      <c r="F14" s="16">
        <v>881</v>
      </c>
      <c r="G14" s="18">
        <v>9.1134788455570492E-2</v>
      </c>
      <c r="H14" s="16">
        <v>870</v>
      </c>
      <c r="I14" s="18">
        <v>8.9996896658735906E-2</v>
      </c>
      <c r="J14" s="16">
        <v>1805</v>
      </c>
      <c r="K14" s="18">
        <v>0.18671769938967622</v>
      </c>
      <c r="L14" s="16">
        <v>1661</v>
      </c>
      <c r="M14" s="18">
        <v>0.17182166132202337</v>
      </c>
      <c r="N14" s="16">
        <v>844</v>
      </c>
      <c r="O14" s="18">
        <v>8.7307334229854136E-2</v>
      </c>
      <c r="P14" s="16">
        <v>1502</v>
      </c>
      <c r="Q14" s="18">
        <v>0.15537395262232337</v>
      </c>
      <c r="R14" s="16">
        <v>1338</v>
      </c>
      <c r="S14" s="18">
        <v>0.13840902037860764</v>
      </c>
    </row>
    <row r="15" spans="1:19" x14ac:dyDescent="0.2">
      <c r="A15" s="19" t="s">
        <v>20</v>
      </c>
      <c r="B15" s="43">
        <v>81215</v>
      </c>
      <c r="C15" s="16">
        <v>2330</v>
      </c>
      <c r="D15" s="16">
        <v>392</v>
      </c>
      <c r="E15" s="18">
        <v>0.16824034334763949</v>
      </c>
      <c r="F15" s="16">
        <v>106</v>
      </c>
      <c r="G15" s="18">
        <v>4.5493562231759654E-2</v>
      </c>
      <c r="H15" s="16">
        <v>124</v>
      </c>
      <c r="I15" s="18">
        <v>5.3218884120171672E-2</v>
      </c>
      <c r="J15" s="16">
        <v>240</v>
      </c>
      <c r="K15" s="18">
        <v>0.10300429184549356</v>
      </c>
      <c r="L15" s="16">
        <v>258</v>
      </c>
      <c r="M15" s="18">
        <v>0.11072961373390558</v>
      </c>
      <c r="N15" s="16">
        <v>181</v>
      </c>
      <c r="O15" s="18">
        <v>7.7682403433476391E-2</v>
      </c>
      <c r="P15" s="16">
        <v>254</v>
      </c>
      <c r="Q15" s="18">
        <v>0.10901287553648069</v>
      </c>
      <c r="R15" s="16">
        <v>775</v>
      </c>
      <c r="S15" s="18">
        <v>0.33261802575107297</v>
      </c>
    </row>
    <row r="16" spans="1:19" x14ac:dyDescent="0.2">
      <c r="A16" s="19" t="s">
        <v>21</v>
      </c>
      <c r="B16" s="43">
        <v>82663</v>
      </c>
      <c r="C16" s="16">
        <v>9359</v>
      </c>
      <c r="D16" s="16">
        <v>867</v>
      </c>
      <c r="E16" s="18">
        <v>9.2638102361363397E-2</v>
      </c>
      <c r="F16" s="16">
        <v>506</v>
      </c>
      <c r="G16" s="18">
        <v>5.4065605299711508E-2</v>
      </c>
      <c r="H16" s="16">
        <v>574</v>
      </c>
      <c r="I16" s="18">
        <v>6.1331338818249814E-2</v>
      </c>
      <c r="J16" s="16">
        <v>714</v>
      </c>
      <c r="K16" s="18">
        <v>7.6290201944652206E-2</v>
      </c>
      <c r="L16" s="16">
        <v>1620</v>
      </c>
      <c r="M16" s="18">
        <v>0.17309541617694199</v>
      </c>
      <c r="N16" s="16">
        <v>1300</v>
      </c>
      <c r="O16" s="18">
        <v>0.13890372903087936</v>
      </c>
      <c r="P16" s="16">
        <v>1841</v>
      </c>
      <c r="Q16" s="18">
        <v>0.19670905011219147</v>
      </c>
      <c r="R16" s="16">
        <v>1937</v>
      </c>
      <c r="S16" s="18">
        <v>0.20696655625601026</v>
      </c>
    </row>
    <row r="17" spans="1:19" x14ac:dyDescent="0.2">
      <c r="A17" s="19" t="s">
        <v>22</v>
      </c>
      <c r="B17" s="43">
        <v>116522</v>
      </c>
      <c r="C17" s="16">
        <v>8083</v>
      </c>
      <c r="D17" s="16">
        <v>431</v>
      </c>
      <c r="E17" s="18">
        <v>5.3321786465421253E-2</v>
      </c>
      <c r="F17" s="16">
        <v>494</v>
      </c>
      <c r="G17" s="18">
        <v>6.1115922306074474E-2</v>
      </c>
      <c r="H17" s="16">
        <v>450</v>
      </c>
      <c r="I17" s="18">
        <v>5.5672398861808733E-2</v>
      </c>
      <c r="J17" s="16">
        <v>372</v>
      </c>
      <c r="K17" s="18">
        <v>4.6022516392428554E-2</v>
      </c>
      <c r="L17" s="16">
        <v>663</v>
      </c>
      <c r="M17" s="18">
        <v>8.2024000989731533E-2</v>
      </c>
      <c r="N17" s="16">
        <v>849</v>
      </c>
      <c r="O17" s="18">
        <v>0.10503525918594581</v>
      </c>
      <c r="P17" s="16">
        <v>1769</v>
      </c>
      <c r="Q17" s="18">
        <v>0.21885438574786589</v>
      </c>
      <c r="R17" s="16">
        <v>3055</v>
      </c>
      <c r="S17" s="18">
        <v>0.37795373005072375</v>
      </c>
    </row>
    <row r="18" spans="1:19" x14ac:dyDescent="0.2">
      <c r="A18" s="19" t="s">
        <v>23</v>
      </c>
      <c r="B18" s="43">
        <v>66964</v>
      </c>
      <c r="C18" s="16">
        <v>49</v>
      </c>
      <c r="D18" s="16">
        <v>0</v>
      </c>
      <c r="E18" s="18">
        <v>0</v>
      </c>
      <c r="F18" s="16">
        <v>9</v>
      </c>
      <c r="G18" s="18">
        <v>0.18367346938775511</v>
      </c>
      <c r="H18" s="16">
        <v>2</v>
      </c>
      <c r="I18" s="18">
        <v>4.0816326530612242E-2</v>
      </c>
      <c r="J18" s="16">
        <v>0</v>
      </c>
      <c r="K18" s="18">
        <v>0</v>
      </c>
      <c r="L18" s="16">
        <v>21</v>
      </c>
      <c r="M18" s="18">
        <v>0.42857142857142855</v>
      </c>
      <c r="N18" s="16">
        <v>0</v>
      </c>
      <c r="O18" s="18">
        <v>0</v>
      </c>
      <c r="P18" s="16">
        <v>17</v>
      </c>
      <c r="Q18" s="18">
        <v>0.34693877551020408</v>
      </c>
      <c r="R18" s="16">
        <v>0</v>
      </c>
      <c r="S18" s="18">
        <v>0</v>
      </c>
    </row>
    <row r="19" spans="1:19" x14ac:dyDescent="0.2">
      <c r="A19" s="19" t="s">
        <v>24</v>
      </c>
      <c r="B19" s="43">
        <v>62676</v>
      </c>
      <c r="C19" s="16">
        <v>6295</v>
      </c>
      <c r="D19" s="16">
        <v>657</v>
      </c>
      <c r="E19" s="18">
        <v>0.10436854646544877</v>
      </c>
      <c r="F19" s="16">
        <v>615</v>
      </c>
      <c r="G19" s="18">
        <v>9.7696584590945199E-2</v>
      </c>
      <c r="H19" s="16">
        <v>602</v>
      </c>
      <c r="I19" s="18">
        <v>9.5631453534551228E-2</v>
      </c>
      <c r="J19" s="16">
        <v>739</v>
      </c>
      <c r="K19" s="18">
        <v>0.11739475774424146</v>
      </c>
      <c r="L19" s="16">
        <v>1048</v>
      </c>
      <c r="M19" s="18">
        <v>0.16648133439237489</v>
      </c>
      <c r="N19" s="16">
        <v>815</v>
      </c>
      <c r="O19" s="18">
        <v>0.12946783161239078</v>
      </c>
      <c r="P19" s="16">
        <v>1136</v>
      </c>
      <c r="Q19" s="18">
        <v>0.18046068308181096</v>
      </c>
      <c r="R19" s="16">
        <v>683</v>
      </c>
      <c r="S19" s="18">
        <v>0.1084988085782367</v>
      </c>
    </row>
    <row r="20" spans="1:19" x14ac:dyDescent="0.2">
      <c r="A20" s="19" t="s">
        <v>47</v>
      </c>
      <c r="B20" s="43">
        <v>49000</v>
      </c>
      <c r="C20" s="16">
        <v>2116</v>
      </c>
      <c r="D20" s="16">
        <v>394</v>
      </c>
      <c r="E20" s="18">
        <v>0.18620037807183365</v>
      </c>
      <c r="F20" s="16">
        <v>198</v>
      </c>
      <c r="G20" s="18">
        <v>9.3572778827977321E-2</v>
      </c>
      <c r="H20" s="16">
        <v>335</v>
      </c>
      <c r="I20" s="18">
        <v>0.15831758034026466</v>
      </c>
      <c r="J20" s="16">
        <v>153</v>
      </c>
      <c r="K20" s="18">
        <v>7.2306238185255195E-2</v>
      </c>
      <c r="L20" s="16">
        <v>444</v>
      </c>
      <c r="M20" s="18">
        <v>0.20982986767485823</v>
      </c>
      <c r="N20" s="16">
        <v>173</v>
      </c>
      <c r="O20" s="18">
        <v>8.1758034026465032E-2</v>
      </c>
      <c r="P20" s="16">
        <v>214</v>
      </c>
      <c r="Q20" s="18">
        <v>0.10113421550094517</v>
      </c>
      <c r="R20" s="16">
        <v>205</v>
      </c>
      <c r="S20" s="18">
        <v>9.6880907372400751E-2</v>
      </c>
    </row>
    <row r="21" spans="1:19" x14ac:dyDescent="0.2">
      <c r="A21" s="19" t="s">
        <v>48</v>
      </c>
      <c r="B21" s="43">
        <v>131557</v>
      </c>
      <c r="C21" s="16">
        <v>1138</v>
      </c>
      <c r="D21" s="16">
        <v>17</v>
      </c>
      <c r="E21" s="18">
        <v>1.4938488576449912E-2</v>
      </c>
      <c r="F21" s="16">
        <v>0</v>
      </c>
      <c r="G21" s="18">
        <v>0</v>
      </c>
      <c r="H21" s="16">
        <v>28</v>
      </c>
      <c r="I21" s="18">
        <v>2.4604569420035149E-2</v>
      </c>
      <c r="J21" s="16">
        <v>13</v>
      </c>
      <c r="K21" s="18">
        <v>1.1423550087873463E-2</v>
      </c>
      <c r="L21" s="16">
        <v>200</v>
      </c>
      <c r="M21" s="18">
        <v>0.1757469244288225</v>
      </c>
      <c r="N21" s="16">
        <v>182</v>
      </c>
      <c r="O21" s="18">
        <v>0.15992970123022848</v>
      </c>
      <c r="P21" s="16">
        <v>174</v>
      </c>
      <c r="Q21" s="18">
        <v>0.15289982425307558</v>
      </c>
      <c r="R21" s="16">
        <v>524</v>
      </c>
      <c r="S21" s="18">
        <v>0.46045694200351495</v>
      </c>
    </row>
    <row r="22" spans="1:19" x14ac:dyDescent="0.2">
      <c r="A22" s="19" t="s">
        <v>27</v>
      </c>
      <c r="B22" s="43">
        <v>100317</v>
      </c>
      <c r="C22" s="16">
        <v>7108</v>
      </c>
      <c r="D22" s="16">
        <v>402</v>
      </c>
      <c r="E22" s="18">
        <v>5.6555993247045584E-2</v>
      </c>
      <c r="F22" s="16">
        <v>374</v>
      </c>
      <c r="G22" s="18">
        <v>5.2616769836803599E-2</v>
      </c>
      <c r="H22" s="16">
        <v>382</v>
      </c>
      <c r="I22" s="18">
        <v>5.3742262239729881E-2</v>
      </c>
      <c r="J22" s="16">
        <v>575</v>
      </c>
      <c r="K22" s="18">
        <v>8.0894766460326395E-2</v>
      </c>
      <c r="L22" s="16">
        <v>983</v>
      </c>
      <c r="M22" s="18">
        <v>0.13829487900956669</v>
      </c>
      <c r="N22" s="16">
        <v>828</v>
      </c>
      <c r="O22" s="18">
        <v>0.11648846370287</v>
      </c>
      <c r="P22" s="16">
        <v>1652</v>
      </c>
      <c r="Q22" s="18">
        <v>0.23241418120427687</v>
      </c>
      <c r="R22" s="16">
        <v>1912</v>
      </c>
      <c r="S22" s="18">
        <v>0.268992684299381</v>
      </c>
    </row>
    <row r="23" spans="1:19" x14ac:dyDescent="0.2">
      <c r="A23" s="19" t="s">
        <v>28</v>
      </c>
      <c r="B23" s="43">
        <v>40207</v>
      </c>
      <c r="C23" s="16">
        <v>10927</v>
      </c>
      <c r="D23" s="16">
        <v>2332</v>
      </c>
      <c r="E23" s="18">
        <v>0.2134163082273268</v>
      </c>
      <c r="F23" s="16">
        <v>1320</v>
      </c>
      <c r="G23" s="18">
        <v>0.12080168390226045</v>
      </c>
      <c r="H23" s="16">
        <v>1260</v>
      </c>
      <c r="I23" s="18">
        <v>0.11531069827033953</v>
      </c>
      <c r="J23" s="16">
        <v>1501</v>
      </c>
      <c r="K23" s="18">
        <v>0.13736615722522194</v>
      </c>
      <c r="L23" s="16">
        <v>1232</v>
      </c>
      <c r="M23" s="18">
        <v>0.11274823830877642</v>
      </c>
      <c r="N23" s="16">
        <v>1052</v>
      </c>
      <c r="O23" s="18">
        <v>9.6275281413013641E-2</v>
      </c>
      <c r="P23" s="16">
        <v>1265</v>
      </c>
      <c r="Q23" s="18">
        <v>0.11576828040633294</v>
      </c>
      <c r="R23" s="16">
        <v>965</v>
      </c>
      <c r="S23" s="18">
        <v>8.8313352246728288E-2</v>
      </c>
    </row>
    <row r="24" spans="1:19" x14ac:dyDescent="0.2">
      <c r="A24" s="19" t="s">
        <v>29</v>
      </c>
      <c r="B24" s="43">
        <v>115795</v>
      </c>
      <c r="C24" s="16">
        <v>6488</v>
      </c>
      <c r="D24" s="16">
        <v>754</v>
      </c>
      <c r="E24" s="18">
        <v>0.11621454993834772</v>
      </c>
      <c r="F24" s="16">
        <v>596</v>
      </c>
      <c r="G24" s="18">
        <v>9.1861898890258933E-2</v>
      </c>
      <c r="H24" s="16">
        <v>367</v>
      </c>
      <c r="I24" s="18">
        <v>5.6565967940813811E-2</v>
      </c>
      <c r="J24" s="16">
        <v>418</v>
      </c>
      <c r="K24" s="18">
        <v>6.4426633785450063E-2</v>
      </c>
      <c r="L24" s="16">
        <v>423</v>
      </c>
      <c r="M24" s="18">
        <v>6.5197287299630091E-2</v>
      </c>
      <c r="N24" s="16">
        <v>408</v>
      </c>
      <c r="O24" s="18">
        <v>6.2885326757090007E-2</v>
      </c>
      <c r="P24" s="16">
        <v>1016</v>
      </c>
      <c r="Q24" s="18">
        <v>0.15659679408138102</v>
      </c>
      <c r="R24" s="16">
        <v>2506</v>
      </c>
      <c r="S24" s="18">
        <v>0.38625154130702838</v>
      </c>
    </row>
    <row r="25" spans="1:19" x14ac:dyDescent="0.2">
      <c r="A25" s="19" t="s">
        <v>30</v>
      </c>
      <c r="B25" s="43">
        <v>191822</v>
      </c>
      <c r="C25" s="16">
        <v>727</v>
      </c>
      <c r="D25" s="16">
        <v>36</v>
      </c>
      <c r="E25" s="18">
        <v>4.951856946354883E-2</v>
      </c>
      <c r="F25" s="16">
        <v>10</v>
      </c>
      <c r="G25" s="18">
        <v>1.3755158184319119E-2</v>
      </c>
      <c r="H25" s="16">
        <v>0</v>
      </c>
      <c r="I25" s="18">
        <v>0</v>
      </c>
      <c r="J25" s="16">
        <v>0</v>
      </c>
      <c r="K25" s="18">
        <v>0</v>
      </c>
      <c r="L25" s="16">
        <v>45</v>
      </c>
      <c r="M25" s="18">
        <v>6.1898211829436035E-2</v>
      </c>
      <c r="N25" s="16">
        <v>45</v>
      </c>
      <c r="O25" s="18">
        <v>6.1898211829436035E-2</v>
      </c>
      <c r="P25" s="16">
        <v>138</v>
      </c>
      <c r="Q25" s="18">
        <v>0.18982118294360384</v>
      </c>
      <c r="R25" s="16">
        <v>453</v>
      </c>
      <c r="S25" s="18">
        <v>0.62310866574965618</v>
      </c>
    </row>
    <row r="26" spans="1:19" x14ac:dyDescent="0.2">
      <c r="A26" s="19" t="s">
        <v>49</v>
      </c>
      <c r="B26" s="43">
        <v>148275</v>
      </c>
      <c r="C26" s="16">
        <v>6605</v>
      </c>
      <c r="D26" s="16">
        <v>615</v>
      </c>
      <c r="E26" s="18">
        <v>9.3111279333838004E-2</v>
      </c>
      <c r="F26" s="16">
        <v>503</v>
      </c>
      <c r="G26" s="18">
        <v>7.6154428463285392E-2</v>
      </c>
      <c r="H26" s="16">
        <v>422</v>
      </c>
      <c r="I26" s="18">
        <v>6.3890991672975017E-2</v>
      </c>
      <c r="J26" s="16">
        <v>386</v>
      </c>
      <c r="K26" s="18">
        <v>5.8440575321725967E-2</v>
      </c>
      <c r="L26" s="16">
        <v>446</v>
      </c>
      <c r="M26" s="18">
        <v>6.7524602573807727E-2</v>
      </c>
      <c r="N26" s="16">
        <v>338</v>
      </c>
      <c r="O26" s="18">
        <v>5.1173353520060562E-2</v>
      </c>
      <c r="P26" s="16">
        <v>615</v>
      </c>
      <c r="Q26" s="18">
        <v>9.3111279333838004E-2</v>
      </c>
      <c r="R26" s="16">
        <v>3280</v>
      </c>
      <c r="S26" s="18">
        <v>0.49659348978046935</v>
      </c>
    </row>
    <row r="27" spans="1:19" x14ac:dyDescent="0.2">
      <c r="A27" s="19" t="s">
        <v>50</v>
      </c>
      <c r="B27" s="43">
        <v>195139</v>
      </c>
      <c r="C27" s="16">
        <v>1189</v>
      </c>
      <c r="D27" s="16">
        <v>72</v>
      </c>
      <c r="E27" s="18">
        <v>6.0555088309503784E-2</v>
      </c>
      <c r="F27" s="16">
        <v>13</v>
      </c>
      <c r="G27" s="18">
        <v>1.0933557611438183E-2</v>
      </c>
      <c r="H27" s="16">
        <v>51</v>
      </c>
      <c r="I27" s="18">
        <v>4.289318755256518E-2</v>
      </c>
      <c r="J27" s="16">
        <v>19</v>
      </c>
      <c r="K27" s="18">
        <v>1.59798149705635E-2</v>
      </c>
      <c r="L27" s="16">
        <v>49</v>
      </c>
      <c r="M27" s="18">
        <v>4.1211101766190077E-2</v>
      </c>
      <c r="N27" s="16">
        <v>103</v>
      </c>
      <c r="O27" s="18">
        <v>8.6627417998317913E-2</v>
      </c>
      <c r="P27" s="16">
        <v>125</v>
      </c>
      <c r="Q27" s="18">
        <v>0.10513036164844407</v>
      </c>
      <c r="R27" s="16">
        <v>757</v>
      </c>
      <c r="S27" s="18">
        <v>0.63666947014297726</v>
      </c>
    </row>
    <row r="28" spans="1:19" x14ac:dyDescent="0.2">
      <c r="A28" s="19" t="s">
        <v>33</v>
      </c>
      <c r="B28" s="43">
        <v>120560</v>
      </c>
      <c r="C28" s="16">
        <v>8527</v>
      </c>
      <c r="D28" s="16">
        <v>247</v>
      </c>
      <c r="E28" s="18">
        <v>2.8966811305265627E-2</v>
      </c>
      <c r="F28" s="16">
        <v>273</v>
      </c>
      <c r="G28" s="18">
        <v>3.2015949337398854E-2</v>
      </c>
      <c r="H28" s="16">
        <v>365</v>
      </c>
      <c r="I28" s="18">
        <v>4.2805206989562569E-2</v>
      </c>
      <c r="J28" s="16">
        <v>620</v>
      </c>
      <c r="K28" s="18">
        <v>7.2710214612407648E-2</v>
      </c>
      <c r="L28" s="16">
        <v>1182</v>
      </c>
      <c r="M28" s="18">
        <v>0.13861850592236424</v>
      </c>
      <c r="N28" s="16">
        <v>875</v>
      </c>
      <c r="O28" s="18">
        <v>0.10261522223525273</v>
      </c>
      <c r="P28" s="16">
        <v>1828</v>
      </c>
      <c r="Q28" s="18">
        <v>0.21437785856690514</v>
      </c>
      <c r="R28" s="16">
        <v>3137</v>
      </c>
      <c r="S28" s="18">
        <v>0.36789023103084323</v>
      </c>
    </row>
    <row r="30" spans="1:19" x14ac:dyDescent="0.2">
      <c r="A30" t="s">
        <v>34</v>
      </c>
    </row>
    <row r="31" spans="1:19" x14ac:dyDescent="0.2">
      <c r="A31" s="22" t="s">
        <v>212</v>
      </c>
    </row>
    <row r="32" spans="1:19" x14ac:dyDescent="0.2">
      <c r="A32" s="22" t="s">
        <v>213</v>
      </c>
    </row>
    <row r="33" spans="1:1" x14ac:dyDescent="0.2">
      <c r="A33" s="22" t="s">
        <v>214</v>
      </c>
    </row>
    <row r="34" spans="1:1" x14ac:dyDescent="0.2">
      <c r="A34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A9D08E"/>
  </sheetPr>
  <dimension ref="A1:H34"/>
  <sheetViews>
    <sheetView workbookViewId="0">
      <pane xSplit="1" topLeftCell="K1" activePane="topRight" state="frozen"/>
      <selection pane="topRight" activeCell="K7" sqref="K7"/>
    </sheetView>
  </sheetViews>
  <sheetFormatPr baseColWidth="10" defaultColWidth="8.83203125" defaultRowHeight="15" x14ac:dyDescent="0.2"/>
  <cols>
    <col min="1" max="1" width="27.33203125" customWidth="1"/>
    <col min="2" max="2" width="18.33203125" customWidth="1"/>
    <col min="3" max="3" width="14.83203125" bestFit="1" customWidth="1"/>
    <col min="4" max="4" width="14.83203125" customWidth="1"/>
    <col min="5" max="5" width="15.83203125" bestFit="1" customWidth="1"/>
    <col min="7" max="7" width="13.6640625" customWidth="1"/>
    <col min="9" max="9" width="10" bestFit="1" customWidth="1"/>
    <col min="11" max="11" width="15.5" bestFit="1" customWidth="1"/>
    <col min="12" max="12" width="15.5" customWidth="1"/>
    <col min="13" max="13" width="15.5" bestFit="1" customWidth="1"/>
    <col min="14" max="14" width="15.5" customWidth="1"/>
  </cols>
  <sheetData>
    <row r="1" spans="1:8" ht="21" x14ac:dyDescent="0.25">
      <c r="A1" s="11" t="s">
        <v>215</v>
      </c>
    </row>
    <row r="3" spans="1:8" ht="48" x14ac:dyDescent="0.2">
      <c r="A3" s="15"/>
      <c r="B3" s="15" t="s">
        <v>216</v>
      </c>
      <c r="C3" s="14" t="s">
        <v>217</v>
      </c>
      <c r="D3" s="15" t="s">
        <v>218</v>
      </c>
      <c r="E3" s="14" t="s">
        <v>219</v>
      </c>
      <c r="F3" s="14" t="s">
        <v>220</v>
      </c>
      <c r="G3" s="14" t="s">
        <v>221</v>
      </c>
      <c r="H3" s="14" t="s">
        <v>220</v>
      </c>
    </row>
    <row r="4" spans="1:8" x14ac:dyDescent="0.2">
      <c r="A4" s="25" t="s">
        <v>44</v>
      </c>
      <c r="B4" s="16">
        <v>137428986</v>
      </c>
      <c r="C4" s="16">
        <v>120756048</v>
      </c>
      <c r="D4" s="18">
        <v>0.87867961130121419</v>
      </c>
      <c r="E4" s="16">
        <v>77274381</v>
      </c>
      <c r="F4" s="18">
        <v>0.63992141412246284</v>
      </c>
      <c r="G4" s="16">
        <v>43481667</v>
      </c>
      <c r="H4" s="18">
        <v>0.36007858587753716</v>
      </c>
    </row>
    <row r="5" spans="1:8" x14ac:dyDescent="0.2">
      <c r="A5" s="25" t="s">
        <v>10</v>
      </c>
      <c r="B5" s="16">
        <v>2897259</v>
      </c>
      <c r="C5" s="16">
        <v>2617497</v>
      </c>
      <c r="D5" s="18">
        <v>0.90343907810796342</v>
      </c>
      <c r="E5" s="16">
        <v>1632765</v>
      </c>
      <c r="F5" s="18">
        <v>0.62378868056009229</v>
      </c>
      <c r="G5" s="16">
        <v>984732</v>
      </c>
      <c r="H5" s="18">
        <v>0.37621131943990765</v>
      </c>
    </row>
    <row r="6" spans="1:8" x14ac:dyDescent="0.2">
      <c r="A6" s="16" t="s">
        <v>11</v>
      </c>
      <c r="B6" s="24">
        <v>294418</v>
      </c>
      <c r="C6" s="16">
        <v>269522</v>
      </c>
      <c r="D6" s="18">
        <v>0.915439952720282</v>
      </c>
      <c r="E6" s="16">
        <v>94406</v>
      </c>
      <c r="F6" s="18">
        <v>0.35027196295664176</v>
      </c>
      <c r="G6" s="16">
        <v>175116</v>
      </c>
      <c r="H6" s="18">
        <v>0.64972803704335824</v>
      </c>
    </row>
    <row r="7" spans="1:8" x14ac:dyDescent="0.2">
      <c r="A7" s="19" t="s">
        <v>12</v>
      </c>
      <c r="B7" s="16">
        <v>7052</v>
      </c>
      <c r="C7" s="16">
        <v>6526</v>
      </c>
      <c r="D7" s="18">
        <v>0.92541123085649457</v>
      </c>
      <c r="E7" s="81">
        <v>796</v>
      </c>
      <c r="F7" s="18">
        <v>0.12197364388599448</v>
      </c>
      <c r="G7" s="16">
        <v>5730</v>
      </c>
      <c r="H7" s="18">
        <v>0.87802635611400548</v>
      </c>
    </row>
    <row r="8" spans="1:8" x14ac:dyDescent="0.2">
      <c r="A8" s="19" t="s">
        <v>45</v>
      </c>
      <c r="B8" s="16">
        <v>11971</v>
      </c>
      <c r="C8" s="16">
        <v>9829</v>
      </c>
      <c r="D8" s="18">
        <v>0.82106757998496371</v>
      </c>
      <c r="E8" s="81">
        <v>3088</v>
      </c>
      <c r="F8" s="18">
        <v>0.31417234713602604</v>
      </c>
      <c r="G8" s="16">
        <v>6741</v>
      </c>
      <c r="H8" s="18">
        <v>0.68582765286397396</v>
      </c>
    </row>
    <row r="9" spans="1:8" x14ac:dyDescent="0.2">
      <c r="A9" s="19" t="s">
        <v>46</v>
      </c>
      <c r="B9" s="16">
        <v>6148</v>
      </c>
      <c r="C9" s="16">
        <v>5427</v>
      </c>
      <c r="D9" s="18">
        <v>0.88272608978529599</v>
      </c>
      <c r="E9" s="81">
        <v>1775</v>
      </c>
      <c r="F9" s="18">
        <v>0.32706836189423255</v>
      </c>
      <c r="G9" s="16">
        <v>3652</v>
      </c>
      <c r="H9" s="18">
        <v>0.6729316381057675</v>
      </c>
    </row>
    <row r="10" spans="1:8" x14ac:dyDescent="0.2">
      <c r="A10" s="19" t="s">
        <v>15</v>
      </c>
      <c r="B10" s="16">
        <v>23854</v>
      </c>
      <c r="C10" s="16">
        <v>22698</v>
      </c>
      <c r="D10" s="18">
        <v>0.95153852603336964</v>
      </c>
      <c r="E10" s="81">
        <v>5216</v>
      </c>
      <c r="F10" s="18">
        <v>0.22979998237730195</v>
      </c>
      <c r="G10" s="16">
        <v>17482</v>
      </c>
      <c r="H10" s="18">
        <v>0.77020001762269807</v>
      </c>
    </row>
    <row r="11" spans="1:8" x14ac:dyDescent="0.2">
      <c r="A11" s="19" t="s">
        <v>16</v>
      </c>
      <c r="B11" s="16">
        <v>9573</v>
      </c>
      <c r="C11" s="16">
        <v>9162</v>
      </c>
      <c r="D11" s="18">
        <v>0.95706675023503607</v>
      </c>
      <c r="E11" s="81">
        <v>4300</v>
      </c>
      <c r="F11" s="18">
        <v>0.46932984064614713</v>
      </c>
      <c r="G11" s="16">
        <v>4862</v>
      </c>
      <c r="H11" s="18">
        <v>0.53067015935385287</v>
      </c>
    </row>
    <row r="12" spans="1:8" x14ac:dyDescent="0.2">
      <c r="A12" s="19" t="s">
        <v>17</v>
      </c>
      <c r="B12" s="16">
        <v>48868</v>
      </c>
      <c r="C12" s="16">
        <v>44301</v>
      </c>
      <c r="D12" s="18">
        <v>0.90654415977735947</v>
      </c>
      <c r="E12" s="81">
        <v>16005</v>
      </c>
      <c r="F12" s="18">
        <v>0.3612785264440983</v>
      </c>
      <c r="G12" s="16">
        <v>28296</v>
      </c>
      <c r="H12" s="18">
        <v>0.6387214735559017</v>
      </c>
    </row>
    <row r="13" spans="1:8" x14ac:dyDescent="0.2">
      <c r="A13" s="19" t="s">
        <v>18</v>
      </c>
      <c r="B13" s="16">
        <v>9966</v>
      </c>
      <c r="C13" s="16">
        <v>7942</v>
      </c>
      <c r="D13" s="18">
        <v>0.79690949227373065</v>
      </c>
      <c r="E13" s="81">
        <v>2138</v>
      </c>
      <c r="F13" s="18">
        <v>0.26920171241500879</v>
      </c>
      <c r="G13" s="16">
        <v>5804</v>
      </c>
      <c r="H13" s="18">
        <v>0.73079828758499121</v>
      </c>
    </row>
    <row r="14" spans="1:8" x14ac:dyDescent="0.2">
      <c r="A14" s="19" t="s">
        <v>19</v>
      </c>
      <c r="B14" s="16">
        <v>17974</v>
      </c>
      <c r="C14" s="16">
        <v>16565</v>
      </c>
      <c r="D14" s="18">
        <v>0.92160899076443747</v>
      </c>
      <c r="E14" s="81">
        <v>4601</v>
      </c>
      <c r="F14" s="18">
        <v>0.27775430123754907</v>
      </c>
      <c r="G14" s="16">
        <v>11964</v>
      </c>
      <c r="H14" s="18">
        <v>0.72224569876245093</v>
      </c>
    </row>
    <row r="15" spans="1:8" x14ac:dyDescent="0.2">
      <c r="A15" s="19" t="s">
        <v>20</v>
      </c>
      <c r="B15" s="16">
        <v>12705</v>
      </c>
      <c r="C15" s="16">
        <v>11226</v>
      </c>
      <c r="D15" s="18">
        <v>0.88358913813459272</v>
      </c>
      <c r="E15" s="81">
        <v>1120</v>
      </c>
      <c r="F15" s="18">
        <v>9.9768394797790844E-2</v>
      </c>
      <c r="G15" s="16">
        <v>10106</v>
      </c>
      <c r="H15" s="18">
        <v>0.90023160520220913</v>
      </c>
    </row>
    <row r="16" spans="1:8" x14ac:dyDescent="0.2">
      <c r="A16" s="19" t="s">
        <v>21</v>
      </c>
      <c r="B16" s="16">
        <v>13752</v>
      </c>
      <c r="C16" s="16">
        <v>13147</v>
      </c>
      <c r="D16" s="18">
        <v>0.95600639906922624</v>
      </c>
      <c r="E16" s="81">
        <v>7832</v>
      </c>
      <c r="F16" s="18">
        <v>0.59572526051570696</v>
      </c>
      <c r="G16" s="16">
        <v>5315</v>
      </c>
      <c r="H16" s="18">
        <v>0.40427473948429299</v>
      </c>
    </row>
    <row r="17" spans="1:8" x14ac:dyDescent="0.2">
      <c r="A17" s="19" t="s">
        <v>22</v>
      </c>
      <c r="B17" s="16">
        <v>17122</v>
      </c>
      <c r="C17" s="16">
        <v>16423</v>
      </c>
      <c r="D17" s="18">
        <v>0.95917532998481481</v>
      </c>
      <c r="E17" s="81">
        <v>7612</v>
      </c>
      <c r="F17" s="18">
        <v>0.46349631614199599</v>
      </c>
      <c r="G17" s="16">
        <v>8811</v>
      </c>
      <c r="H17" s="18">
        <v>0.53650368385800407</v>
      </c>
    </row>
    <row r="18" spans="1:8" x14ac:dyDescent="0.2">
      <c r="A18" s="19" t="s">
        <v>23</v>
      </c>
      <c r="B18" s="16">
        <v>280</v>
      </c>
      <c r="C18" s="16">
        <v>269</v>
      </c>
      <c r="D18" s="18">
        <v>0.96071428571428574</v>
      </c>
      <c r="E18" s="81">
        <v>26</v>
      </c>
      <c r="F18" s="18">
        <v>9.6654275092936809E-2</v>
      </c>
      <c r="G18" s="16">
        <v>243</v>
      </c>
      <c r="H18" s="18">
        <v>0.90334572490706322</v>
      </c>
    </row>
    <row r="19" spans="1:8" x14ac:dyDescent="0.2">
      <c r="A19" s="19" t="s">
        <v>24</v>
      </c>
      <c r="B19" s="16">
        <v>9997</v>
      </c>
      <c r="C19" s="16">
        <v>9173</v>
      </c>
      <c r="D19" s="18">
        <v>0.91757527258177451</v>
      </c>
      <c r="E19" s="81">
        <v>3522</v>
      </c>
      <c r="F19" s="18">
        <v>0.38395290526545295</v>
      </c>
      <c r="G19" s="16">
        <v>5651</v>
      </c>
      <c r="H19" s="18">
        <v>0.616047094734547</v>
      </c>
    </row>
    <row r="20" spans="1:8" x14ac:dyDescent="0.2">
      <c r="A20" s="19" t="s">
        <v>47</v>
      </c>
      <c r="B20" s="16">
        <v>6993</v>
      </c>
      <c r="C20" s="16">
        <v>6687</v>
      </c>
      <c r="D20" s="18">
        <v>0.95624195624195629</v>
      </c>
      <c r="E20" s="81">
        <v>622</v>
      </c>
      <c r="F20" s="18">
        <v>9.3016300284133394E-2</v>
      </c>
      <c r="G20" s="16">
        <v>6065</v>
      </c>
      <c r="H20" s="18">
        <v>0.90698369971586656</v>
      </c>
    </row>
    <row r="21" spans="1:8" x14ac:dyDescent="0.2">
      <c r="A21" s="19" t="s">
        <v>48</v>
      </c>
      <c r="B21" s="16">
        <v>5829</v>
      </c>
      <c r="C21" s="16">
        <v>5086</v>
      </c>
      <c r="D21" s="18">
        <v>0.872533882312575</v>
      </c>
      <c r="E21" s="81">
        <v>1367</v>
      </c>
      <c r="F21" s="18">
        <v>0.26877703499803379</v>
      </c>
      <c r="G21" s="16">
        <v>3719</v>
      </c>
      <c r="H21" s="18">
        <v>0.73122296500196615</v>
      </c>
    </row>
    <row r="22" spans="1:8" x14ac:dyDescent="0.2">
      <c r="A22" s="19" t="s">
        <v>27</v>
      </c>
      <c r="B22" s="16">
        <v>12055</v>
      </c>
      <c r="C22" s="16">
        <v>11482</v>
      </c>
      <c r="D22" s="18">
        <v>0.95246785566155123</v>
      </c>
      <c r="E22" s="81">
        <v>6354</v>
      </c>
      <c r="F22" s="18">
        <v>0.55338791151367361</v>
      </c>
      <c r="G22" s="16">
        <v>5128</v>
      </c>
      <c r="H22" s="18">
        <v>0.44661208848632644</v>
      </c>
    </row>
    <row r="23" spans="1:8" x14ac:dyDescent="0.2">
      <c r="A23" s="19" t="s">
        <v>28</v>
      </c>
      <c r="B23" s="16">
        <v>21699</v>
      </c>
      <c r="C23" s="16">
        <v>19899</v>
      </c>
      <c r="D23" s="18">
        <v>0.91704686851928663</v>
      </c>
      <c r="E23" s="81">
        <v>4326</v>
      </c>
      <c r="F23" s="18">
        <v>0.21739785918890397</v>
      </c>
      <c r="G23" s="16">
        <v>15573</v>
      </c>
      <c r="H23" s="18">
        <v>0.78260214081109603</v>
      </c>
    </row>
    <row r="24" spans="1:8" x14ac:dyDescent="0.2">
      <c r="A24" s="19" t="s">
        <v>29</v>
      </c>
      <c r="B24" s="16">
        <v>18219</v>
      </c>
      <c r="C24" s="16">
        <v>16730</v>
      </c>
      <c r="D24" s="18">
        <v>0.91827213348701908</v>
      </c>
      <c r="E24" s="81">
        <v>6911</v>
      </c>
      <c r="F24" s="18">
        <v>0.41309025702331142</v>
      </c>
      <c r="G24" s="16">
        <v>9819</v>
      </c>
      <c r="H24" s="18">
        <v>0.58690974297668863</v>
      </c>
    </row>
    <row r="25" spans="1:8" x14ac:dyDescent="0.2">
      <c r="A25" s="19" t="s">
        <v>30</v>
      </c>
      <c r="B25" s="16">
        <v>3259</v>
      </c>
      <c r="C25" s="16">
        <v>2628</v>
      </c>
      <c r="D25" s="18">
        <v>0.80638232586683034</v>
      </c>
      <c r="E25" s="81">
        <v>746</v>
      </c>
      <c r="F25" s="18">
        <v>0.28386605783866059</v>
      </c>
      <c r="G25" s="16">
        <v>1882</v>
      </c>
      <c r="H25" s="18">
        <v>0.71613394216133941</v>
      </c>
    </row>
    <row r="26" spans="1:8" x14ac:dyDescent="0.2">
      <c r="A26" s="19" t="s">
        <v>49</v>
      </c>
      <c r="B26" s="16">
        <v>18296</v>
      </c>
      <c r="C26" s="16">
        <v>16819</v>
      </c>
      <c r="D26" s="18">
        <v>0.91927197201574118</v>
      </c>
      <c r="E26" s="81">
        <v>6355</v>
      </c>
      <c r="F26" s="18">
        <v>0.37784648314406327</v>
      </c>
      <c r="G26" s="16">
        <v>10464</v>
      </c>
      <c r="H26" s="18">
        <v>0.62215351685593678</v>
      </c>
    </row>
    <row r="27" spans="1:8" x14ac:dyDescent="0.2">
      <c r="A27" s="19" t="s">
        <v>50</v>
      </c>
      <c r="B27" s="16">
        <v>4119</v>
      </c>
      <c r="C27" s="16">
        <v>3558</v>
      </c>
      <c r="D27" s="18">
        <v>0.86380189366351057</v>
      </c>
      <c r="E27" s="81">
        <v>789</v>
      </c>
      <c r="F27" s="18">
        <v>0.22175379426644182</v>
      </c>
      <c r="G27" s="16">
        <v>2769</v>
      </c>
      <c r="H27" s="18">
        <v>0.77824620573355818</v>
      </c>
    </row>
    <row r="28" spans="1:8" x14ac:dyDescent="0.2">
      <c r="A28" s="19" t="s">
        <v>33</v>
      </c>
      <c r="B28" s="16">
        <v>14675</v>
      </c>
      <c r="C28" s="16">
        <v>13933</v>
      </c>
      <c r="D28" s="18">
        <v>0.94943781942078365</v>
      </c>
      <c r="E28" s="81">
        <v>8905</v>
      </c>
      <c r="F28" s="18">
        <v>0.63913012273020886</v>
      </c>
      <c r="G28" s="16">
        <v>5028</v>
      </c>
      <c r="H28" s="18">
        <v>0.36086987726979114</v>
      </c>
    </row>
    <row r="30" spans="1:8" x14ac:dyDescent="0.2">
      <c r="A30" t="s">
        <v>34</v>
      </c>
    </row>
    <row r="31" spans="1:8" x14ac:dyDescent="0.2">
      <c r="A31" s="47" t="s">
        <v>222</v>
      </c>
    </row>
    <row r="32" spans="1:8" x14ac:dyDescent="0.2">
      <c r="A32" s="113" t="s">
        <v>223</v>
      </c>
    </row>
    <row r="33" spans="1:1" x14ac:dyDescent="0.2">
      <c r="A33" s="47" t="s">
        <v>224</v>
      </c>
    </row>
    <row r="34" spans="1:1" x14ac:dyDescent="0.2">
      <c r="A34" s="4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8398-1E53-4673-A21C-013DBEF5F40D}">
  <sheetPr>
    <tabColor rgb="FFA9D08E"/>
  </sheetPr>
  <dimension ref="A1:J33"/>
  <sheetViews>
    <sheetView topLeftCell="A7" workbookViewId="0">
      <selection activeCell="A3" sqref="A3"/>
    </sheetView>
  </sheetViews>
  <sheetFormatPr baseColWidth="10" defaultColWidth="8.83203125" defaultRowHeight="15" x14ac:dyDescent="0.2"/>
  <cols>
    <col min="1" max="1" width="25.1640625" customWidth="1"/>
    <col min="2" max="2" width="12.5" hidden="1" customWidth="1"/>
    <col min="3" max="10" width="12.33203125" customWidth="1"/>
  </cols>
  <sheetData>
    <row r="1" spans="1:10" ht="21" x14ac:dyDescent="0.25">
      <c r="A1" s="11" t="s">
        <v>225</v>
      </c>
    </row>
    <row r="3" spans="1:10" s="106" customFormat="1" ht="32" x14ac:dyDescent="0.2">
      <c r="A3" s="105"/>
      <c r="B3" s="105" t="s">
        <v>38</v>
      </c>
      <c r="C3" s="105" t="s">
        <v>226</v>
      </c>
      <c r="D3" s="105" t="s">
        <v>3</v>
      </c>
      <c r="E3" s="105" t="s">
        <v>227</v>
      </c>
      <c r="F3" s="105" t="s">
        <v>3</v>
      </c>
      <c r="G3" s="105" t="s">
        <v>228</v>
      </c>
      <c r="H3" s="105" t="s">
        <v>3</v>
      </c>
      <c r="I3" s="105" t="s">
        <v>229</v>
      </c>
      <c r="J3" s="105" t="s">
        <v>3</v>
      </c>
    </row>
    <row r="4" spans="1:10" x14ac:dyDescent="0.2">
      <c r="A4" s="85" t="s">
        <v>44</v>
      </c>
      <c r="B4" s="85">
        <v>137428986</v>
      </c>
      <c r="C4" s="85">
        <v>18393887</v>
      </c>
      <c r="D4" s="78">
        <v>0.13384284884412959</v>
      </c>
      <c r="E4" s="85">
        <v>35658445</v>
      </c>
      <c r="F4" s="78">
        <v>0.25946815179150051</v>
      </c>
      <c r="G4" s="85">
        <v>54129990</v>
      </c>
      <c r="H4" s="78">
        <v>0.39387607793307883</v>
      </c>
      <c r="I4" s="85">
        <v>29246664</v>
      </c>
      <c r="J4" s="78">
        <v>0.21281292143129107</v>
      </c>
    </row>
    <row r="5" spans="1:10" x14ac:dyDescent="0.2">
      <c r="A5" s="85" t="s">
        <v>10</v>
      </c>
      <c r="B5" s="85">
        <v>2897259</v>
      </c>
      <c r="C5" s="85">
        <v>474807</v>
      </c>
      <c r="D5" s="78">
        <v>0.16388144794787074</v>
      </c>
      <c r="E5" s="85">
        <v>814134</v>
      </c>
      <c r="F5" s="78">
        <v>0.28100145689425765</v>
      </c>
      <c r="G5" s="85">
        <v>1001483</v>
      </c>
      <c r="H5" s="78">
        <v>0.34566567918159891</v>
      </c>
      <c r="I5" s="85">
        <v>606835</v>
      </c>
      <c r="J5" s="78">
        <v>0.20945141597627276</v>
      </c>
    </row>
    <row r="6" spans="1:10" x14ac:dyDescent="0.2">
      <c r="A6" s="85" t="s">
        <v>11</v>
      </c>
      <c r="B6" s="85">
        <v>294418</v>
      </c>
      <c r="C6" s="85">
        <v>93618</v>
      </c>
      <c r="D6" s="78">
        <v>0.31797648241615661</v>
      </c>
      <c r="E6" s="85">
        <v>101543</v>
      </c>
      <c r="F6" s="78">
        <v>0.34489399425306877</v>
      </c>
      <c r="G6" s="85">
        <v>68120</v>
      </c>
      <c r="H6" s="78">
        <v>0.23137172319627197</v>
      </c>
      <c r="I6" s="85">
        <v>31137</v>
      </c>
      <c r="J6" s="78">
        <v>0.10575780013450264</v>
      </c>
    </row>
    <row r="7" spans="1:10" x14ac:dyDescent="0.2">
      <c r="A7" s="104" t="s">
        <v>12</v>
      </c>
      <c r="B7" s="85">
        <v>7052</v>
      </c>
      <c r="C7" s="85">
        <v>3169</v>
      </c>
      <c r="D7" s="78">
        <v>0.44937606352807713</v>
      </c>
      <c r="E7" s="85">
        <v>2197</v>
      </c>
      <c r="F7" s="78">
        <v>0.31154282473057288</v>
      </c>
      <c r="G7" s="85">
        <v>1160</v>
      </c>
      <c r="H7" s="78">
        <v>0.16449234259784459</v>
      </c>
      <c r="I7" s="85">
        <v>526</v>
      </c>
      <c r="J7" s="78">
        <v>7.4588769143505387E-2</v>
      </c>
    </row>
    <row r="8" spans="1:10" x14ac:dyDescent="0.2">
      <c r="A8" s="104" t="s">
        <v>45</v>
      </c>
      <c r="B8" s="85">
        <v>11971</v>
      </c>
      <c r="C8" s="85">
        <v>7241</v>
      </c>
      <c r="D8" s="78">
        <v>0.60487845626931747</v>
      </c>
      <c r="E8" s="85">
        <v>3168</v>
      </c>
      <c r="F8" s="78">
        <v>0.26463954556845709</v>
      </c>
      <c r="G8" s="85">
        <v>1262</v>
      </c>
      <c r="H8" s="78">
        <v>0.10542143513490937</v>
      </c>
      <c r="I8" s="85">
        <v>300</v>
      </c>
      <c r="J8" s="78">
        <v>2.5060563027316015E-2</v>
      </c>
    </row>
    <row r="9" spans="1:10" x14ac:dyDescent="0.2">
      <c r="A9" s="104" t="s">
        <v>46</v>
      </c>
      <c r="B9" s="85">
        <v>6148</v>
      </c>
      <c r="C9" s="85">
        <v>3382</v>
      </c>
      <c r="D9" s="78">
        <v>0.55009759271307745</v>
      </c>
      <c r="E9" s="85">
        <v>1743</v>
      </c>
      <c r="F9" s="78">
        <v>0.2835068314899154</v>
      </c>
      <c r="G9" s="85">
        <v>703</v>
      </c>
      <c r="H9" s="78">
        <v>0.11434612882238127</v>
      </c>
      <c r="I9" s="85">
        <v>320</v>
      </c>
      <c r="J9" s="78">
        <v>5.2049446974625893E-2</v>
      </c>
    </row>
    <row r="10" spans="1:10" x14ac:dyDescent="0.2">
      <c r="A10" s="104" t="s">
        <v>15</v>
      </c>
      <c r="B10" s="85">
        <v>23854</v>
      </c>
      <c r="C10" s="85">
        <v>8770</v>
      </c>
      <c r="D10" s="78">
        <v>0.36765322377798271</v>
      </c>
      <c r="E10" s="85">
        <v>8357</v>
      </c>
      <c r="F10" s="78">
        <v>0.35033956569128866</v>
      </c>
      <c r="G10" s="85">
        <v>4727</v>
      </c>
      <c r="H10" s="78">
        <v>0.19816382996562421</v>
      </c>
      <c r="I10" s="85">
        <v>2000</v>
      </c>
      <c r="J10" s="78">
        <v>8.3843380565104389E-2</v>
      </c>
    </row>
    <row r="11" spans="1:10" x14ac:dyDescent="0.2">
      <c r="A11" s="104" t="s">
        <v>16</v>
      </c>
      <c r="B11" s="85">
        <v>9573</v>
      </c>
      <c r="C11" s="85">
        <v>3391</v>
      </c>
      <c r="D11" s="78">
        <v>0.35422542567638149</v>
      </c>
      <c r="E11" s="85">
        <v>3587</v>
      </c>
      <c r="F11" s="78">
        <v>0.37469967617256866</v>
      </c>
      <c r="G11" s="85">
        <v>1867</v>
      </c>
      <c r="H11" s="78">
        <v>0.19502768202235454</v>
      </c>
      <c r="I11" s="85">
        <v>728</v>
      </c>
      <c r="J11" s="78">
        <v>7.6047216128695291E-2</v>
      </c>
    </row>
    <row r="12" spans="1:10" x14ac:dyDescent="0.2">
      <c r="A12" s="104" t="s">
        <v>17</v>
      </c>
      <c r="B12" s="85">
        <v>48868</v>
      </c>
      <c r="C12" s="85">
        <v>7145</v>
      </c>
      <c r="D12" s="78">
        <v>0.14621019890316772</v>
      </c>
      <c r="E12" s="85">
        <v>16477</v>
      </c>
      <c r="F12" s="78">
        <v>0.33717361054268641</v>
      </c>
      <c r="G12" s="85">
        <v>17020</v>
      </c>
      <c r="H12" s="78">
        <v>0.34828517639354994</v>
      </c>
      <c r="I12" s="85">
        <v>8226</v>
      </c>
      <c r="J12" s="78">
        <v>0.1683310141605959</v>
      </c>
    </row>
    <row r="13" spans="1:10" x14ac:dyDescent="0.2">
      <c r="A13" s="104" t="s">
        <v>18</v>
      </c>
      <c r="B13" s="85">
        <v>9966</v>
      </c>
      <c r="C13" s="85">
        <v>6068</v>
      </c>
      <c r="D13" s="78">
        <v>0.6088701585390327</v>
      </c>
      <c r="E13" s="85">
        <v>3195</v>
      </c>
      <c r="F13" s="78">
        <v>0.32059000602046961</v>
      </c>
      <c r="G13" s="85">
        <v>552</v>
      </c>
      <c r="H13" s="78">
        <v>5.5388320288982544E-2</v>
      </c>
      <c r="I13" s="85">
        <v>151</v>
      </c>
      <c r="J13" s="78">
        <v>1.5151515151515152E-2</v>
      </c>
    </row>
    <row r="14" spans="1:10" x14ac:dyDescent="0.2">
      <c r="A14" s="104" t="s">
        <v>19</v>
      </c>
      <c r="B14" s="85">
        <v>17974</v>
      </c>
      <c r="C14" s="85">
        <v>4876</v>
      </c>
      <c r="D14" s="78">
        <v>0.27128073884499831</v>
      </c>
      <c r="E14" s="85">
        <v>7032</v>
      </c>
      <c r="F14" s="78">
        <v>0.39123177923667518</v>
      </c>
      <c r="G14" s="85">
        <v>4460</v>
      </c>
      <c r="H14" s="78">
        <v>0.24813619672860798</v>
      </c>
      <c r="I14" s="85">
        <v>1606</v>
      </c>
      <c r="J14" s="78">
        <v>8.935128518971848E-2</v>
      </c>
    </row>
    <row r="15" spans="1:10" x14ac:dyDescent="0.2">
      <c r="A15" s="104" t="s">
        <v>20</v>
      </c>
      <c r="B15" s="85">
        <v>12705</v>
      </c>
      <c r="C15" s="85">
        <v>8124</v>
      </c>
      <c r="D15" s="78">
        <v>0.63943329397874848</v>
      </c>
      <c r="E15" s="85">
        <v>3577</v>
      </c>
      <c r="F15" s="78">
        <v>0.2815426997245179</v>
      </c>
      <c r="G15" s="85">
        <v>742</v>
      </c>
      <c r="H15" s="78">
        <v>5.840220385674931E-2</v>
      </c>
      <c r="I15" s="85">
        <v>262</v>
      </c>
      <c r="J15" s="78">
        <v>2.0621802439984259E-2</v>
      </c>
    </row>
    <row r="16" spans="1:10" x14ac:dyDescent="0.2">
      <c r="A16" s="104" t="s">
        <v>21</v>
      </c>
      <c r="B16" s="85">
        <v>13752</v>
      </c>
      <c r="C16" s="85">
        <v>2065</v>
      </c>
      <c r="D16" s="78">
        <v>0.15015997673065737</v>
      </c>
      <c r="E16" s="85">
        <v>4096</v>
      </c>
      <c r="F16" s="78">
        <v>0.29784758580570098</v>
      </c>
      <c r="G16" s="85">
        <v>5107</v>
      </c>
      <c r="H16" s="78">
        <v>0.37136416521233273</v>
      </c>
      <c r="I16" s="85">
        <v>2484</v>
      </c>
      <c r="J16" s="78">
        <v>0.1806282722513089</v>
      </c>
    </row>
    <row r="17" spans="1:10" x14ac:dyDescent="0.2">
      <c r="A17" s="104" t="s">
        <v>22</v>
      </c>
      <c r="B17" s="85">
        <v>17122</v>
      </c>
      <c r="C17" s="85">
        <v>3148</v>
      </c>
      <c r="D17" s="78">
        <v>0.18385702604835882</v>
      </c>
      <c r="E17" s="85">
        <v>7043</v>
      </c>
      <c r="F17" s="78">
        <v>0.41134213292839622</v>
      </c>
      <c r="G17" s="85">
        <v>4780</v>
      </c>
      <c r="H17" s="78">
        <v>0.27917299380913446</v>
      </c>
      <c r="I17" s="85">
        <v>2151</v>
      </c>
      <c r="J17" s="78">
        <v>0.12562784721411049</v>
      </c>
    </row>
    <row r="18" spans="1:10" x14ac:dyDescent="0.2">
      <c r="A18" s="104" t="s">
        <v>23</v>
      </c>
      <c r="B18" s="85">
        <v>280</v>
      </c>
      <c r="C18" s="85">
        <v>204</v>
      </c>
      <c r="D18" s="78">
        <v>0.72857142857142854</v>
      </c>
      <c r="E18" s="85">
        <v>59</v>
      </c>
      <c r="F18" s="78">
        <v>0.21071428571428572</v>
      </c>
      <c r="G18" s="85">
        <v>17</v>
      </c>
      <c r="H18" s="78">
        <v>6.0714285714285714E-2</v>
      </c>
      <c r="I18" s="85">
        <v>0</v>
      </c>
      <c r="J18" s="78">
        <v>0</v>
      </c>
    </row>
    <row r="19" spans="1:10" x14ac:dyDescent="0.2">
      <c r="A19" s="104" t="s">
        <v>24</v>
      </c>
      <c r="B19" s="85">
        <v>9997</v>
      </c>
      <c r="C19" s="85">
        <v>1651</v>
      </c>
      <c r="D19" s="78">
        <v>0.16514954486345904</v>
      </c>
      <c r="E19" s="85">
        <v>3064</v>
      </c>
      <c r="F19" s="78">
        <v>0.30649194758427528</v>
      </c>
      <c r="G19" s="85">
        <v>3613</v>
      </c>
      <c r="H19" s="78">
        <v>0.36140842252675803</v>
      </c>
      <c r="I19" s="85">
        <v>1669</v>
      </c>
      <c r="J19" s="78">
        <v>0.16695008502550765</v>
      </c>
    </row>
    <row r="20" spans="1:10" x14ac:dyDescent="0.2">
      <c r="A20" s="104" t="s">
        <v>47</v>
      </c>
      <c r="B20" s="85">
        <v>6993</v>
      </c>
      <c r="C20" s="85">
        <v>3445</v>
      </c>
      <c r="D20" s="78">
        <v>0.49263549263549261</v>
      </c>
      <c r="E20" s="85">
        <v>1634</v>
      </c>
      <c r="F20" s="78">
        <v>0.23366223366223365</v>
      </c>
      <c r="G20" s="85">
        <v>1215</v>
      </c>
      <c r="H20" s="78">
        <v>0.17374517374517376</v>
      </c>
      <c r="I20" s="85">
        <v>699</v>
      </c>
      <c r="J20" s="78">
        <v>9.9957099957099962E-2</v>
      </c>
    </row>
    <row r="21" spans="1:10" x14ac:dyDescent="0.2">
      <c r="A21" s="104" t="s">
        <v>48</v>
      </c>
      <c r="B21" s="85">
        <v>5829</v>
      </c>
      <c r="C21" s="85">
        <v>3024</v>
      </c>
      <c r="D21" s="78">
        <v>0.5187853834276891</v>
      </c>
      <c r="E21" s="85">
        <v>2070</v>
      </c>
      <c r="F21" s="78">
        <v>0.35512094698919194</v>
      </c>
      <c r="G21" s="85">
        <v>642</v>
      </c>
      <c r="H21" s="78">
        <v>0.11013896037056099</v>
      </c>
      <c r="I21" s="85">
        <v>93</v>
      </c>
      <c r="J21" s="78">
        <v>1.5954709212557899E-2</v>
      </c>
    </row>
    <row r="22" spans="1:10" x14ac:dyDescent="0.2">
      <c r="A22" s="104" t="s">
        <v>27</v>
      </c>
      <c r="B22" s="85">
        <v>12055</v>
      </c>
      <c r="C22" s="85">
        <v>1774</v>
      </c>
      <c r="D22" s="78">
        <v>0.14715885524678557</v>
      </c>
      <c r="E22" s="85">
        <v>4480</v>
      </c>
      <c r="F22" s="78">
        <v>0.37163002903359604</v>
      </c>
      <c r="G22" s="85">
        <v>4005</v>
      </c>
      <c r="H22" s="78">
        <v>0.33222729158025716</v>
      </c>
      <c r="I22" s="85">
        <v>1796</v>
      </c>
      <c r="J22" s="78">
        <v>0.14898382413936126</v>
      </c>
    </row>
    <row r="23" spans="1:10" x14ac:dyDescent="0.2">
      <c r="A23" s="104" t="s">
        <v>28</v>
      </c>
      <c r="B23" s="85">
        <v>21699</v>
      </c>
      <c r="C23" s="85">
        <v>5747</v>
      </c>
      <c r="D23" s="78">
        <v>0.26485091478869993</v>
      </c>
      <c r="E23" s="85">
        <v>7687</v>
      </c>
      <c r="F23" s="78">
        <v>0.35425595649569103</v>
      </c>
      <c r="G23" s="85">
        <v>5150</v>
      </c>
      <c r="H23" s="78">
        <v>0.23733812618093</v>
      </c>
      <c r="I23" s="85">
        <v>3115</v>
      </c>
      <c r="J23" s="78">
        <v>0.14355500253467901</v>
      </c>
    </row>
    <row r="24" spans="1:10" x14ac:dyDescent="0.2">
      <c r="A24" s="104" t="s">
        <v>29</v>
      </c>
      <c r="B24" s="85">
        <v>18219</v>
      </c>
      <c r="C24" s="85">
        <v>4887</v>
      </c>
      <c r="D24" s="78">
        <v>0.2682364564465668</v>
      </c>
      <c r="E24" s="85">
        <v>7969</v>
      </c>
      <c r="F24" s="78">
        <v>0.43740051594489271</v>
      </c>
      <c r="G24" s="85">
        <v>4158</v>
      </c>
      <c r="H24" s="78">
        <v>0.22822328338547671</v>
      </c>
      <c r="I24" s="85">
        <v>1205</v>
      </c>
      <c r="J24" s="78">
        <v>6.6139744223063832E-2</v>
      </c>
    </row>
    <row r="25" spans="1:10" x14ac:dyDescent="0.2">
      <c r="A25" s="104" t="s">
        <v>30</v>
      </c>
      <c r="B25" s="85">
        <v>3259</v>
      </c>
      <c r="C25" s="85">
        <v>1770</v>
      </c>
      <c r="D25" s="78">
        <v>0.54311138386007973</v>
      </c>
      <c r="E25" s="85">
        <v>1222</v>
      </c>
      <c r="F25" s="78">
        <v>0.37496164467628107</v>
      </c>
      <c r="G25" s="85">
        <v>256</v>
      </c>
      <c r="H25" s="78">
        <v>7.8551702976373122E-2</v>
      </c>
      <c r="I25" s="85">
        <v>11</v>
      </c>
      <c r="J25" s="78">
        <v>3.3752684872660325E-3</v>
      </c>
    </row>
    <row r="26" spans="1:10" x14ac:dyDescent="0.2">
      <c r="A26" s="104" t="s">
        <v>49</v>
      </c>
      <c r="B26" s="85">
        <v>18296</v>
      </c>
      <c r="C26" s="85">
        <v>8463</v>
      </c>
      <c r="D26" s="78">
        <v>0.46256012243113248</v>
      </c>
      <c r="E26" s="85">
        <v>6557</v>
      </c>
      <c r="F26" s="78">
        <v>0.35838434630520333</v>
      </c>
      <c r="G26" s="85">
        <v>2173</v>
      </c>
      <c r="H26" s="78">
        <v>0.11876912986445125</v>
      </c>
      <c r="I26" s="85">
        <v>1103</v>
      </c>
      <c r="J26" s="78">
        <v>6.0286401399212944E-2</v>
      </c>
    </row>
    <row r="27" spans="1:10" x14ac:dyDescent="0.2">
      <c r="A27" s="104" t="s">
        <v>50</v>
      </c>
      <c r="B27" s="85">
        <v>4119</v>
      </c>
      <c r="C27" s="85">
        <v>2800</v>
      </c>
      <c r="D27" s="78">
        <v>0.67977664481670308</v>
      </c>
      <c r="E27" s="85">
        <v>1214</v>
      </c>
      <c r="F27" s="78">
        <v>0.29473173100267053</v>
      </c>
      <c r="G27" s="85">
        <v>79</v>
      </c>
      <c r="H27" s="78">
        <v>1.9179412478756978E-2</v>
      </c>
      <c r="I27" s="85">
        <v>26</v>
      </c>
      <c r="J27" s="78">
        <v>6.3122117018693854E-3</v>
      </c>
    </row>
    <row r="28" spans="1:10" x14ac:dyDescent="0.2">
      <c r="A28" s="104" t="s">
        <v>33</v>
      </c>
      <c r="B28" s="85">
        <v>14675</v>
      </c>
      <c r="C28" s="85">
        <v>2474</v>
      </c>
      <c r="D28" s="78">
        <v>0.16858603066439523</v>
      </c>
      <c r="E28" s="85">
        <v>5115</v>
      </c>
      <c r="F28" s="78">
        <v>0.34855195911413972</v>
      </c>
      <c r="G28" s="85">
        <v>4420</v>
      </c>
      <c r="H28" s="78">
        <v>0.30119250425894378</v>
      </c>
      <c r="I28" s="85">
        <v>2666</v>
      </c>
      <c r="J28" s="78">
        <v>0.18166950596252129</v>
      </c>
    </row>
    <row r="30" spans="1:10" x14ac:dyDescent="0.2">
      <c r="A30" t="s">
        <v>34</v>
      </c>
    </row>
    <row r="31" spans="1:10" x14ac:dyDescent="0.2">
      <c r="A31" t="s">
        <v>230</v>
      </c>
    </row>
    <row r="32" spans="1:10" x14ac:dyDescent="0.2">
      <c r="A32" t="s">
        <v>231</v>
      </c>
    </row>
    <row r="33" spans="1:1" x14ac:dyDescent="0.2">
      <c r="A33" t="s">
        <v>224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A9D08E"/>
  </sheetPr>
  <dimension ref="A1:R35"/>
  <sheetViews>
    <sheetView workbookViewId="0">
      <pane xSplit="1" topLeftCell="B1" activePane="topRight" state="frozen"/>
      <selection activeCell="A4" sqref="A4"/>
      <selection pane="topRight" activeCell="S18" sqref="S18"/>
    </sheetView>
  </sheetViews>
  <sheetFormatPr baseColWidth="10" defaultColWidth="8.83203125" defaultRowHeight="15" x14ac:dyDescent="0.2"/>
  <cols>
    <col min="1" max="1" width="26.33203125" customWidth="1"/>
    <col min="2" max="2" width="15" customWidth="1"/>
    <col min="3" max="3" width="12" bestFit="1" customWidth="1"/>
    <col min="4" max="4" width="11.6640625" customWidth="1"/>
    <col min="6" max="6" width="7.33203125" customWidth="1"/>
    <col min="8" max="8" width="10.1640625" customWidth="1"/>
    <col min="10" max="10" width="8" customWidth="1"/>
    <col min="12" max="12" width="9.5" customWidth="1"/>
    <col min="13" max="13" width="14.5" customWidth="1"/>
    <col min="14" max="14" width="7.6640625" bestFit="1" customWidth="1"/>
    <col min="15" max="15" width="10.5" customWidth="1"/>
    <col min="16" max="16" width="7.1640625" customWidth="1"/>
    <col min="18" max="18" width="15.33203125" customWidth="1"/>
  </cols>
  <sheetData>
    <row r="1" spans="1:18" ht="19" x14ac:dyDescent="0.25">
      <c r="A1" s="38" t="s">
        <v>232</v>
      </c>
    </row>
    <row r="2" spans="1:18" x14ac:dyDescent="0.2">
      <c r="B2" s="24"/>
      <c r="C2" s="24"/>
      <c r="D2" s="24"/>
      <c r="E2" s="24"/>
      <c r="F2" s="24"/>
      <c r="G2" s="24"/>
      <c r="H2" s="24"/>
    </row>
    <row r="3" spans="1:18" ht="48" x14ac:dyDescent="0.2">
      <c r="A3" s="15"/>
      <c r="B3" s="15" t="s">
        <v>233</v>
      </c>
      <c r="C3" s="15" t="s">
        <v>234</v>
      </c>
      <c r="D3" s="15" t="s">
        <v>235</v>
      </c>
      <c r="E3" s="15" t="s">
        <v>236</v>
      </c>
      <c r="F3" s="15" t="s">
        <v>237</v>
      </c>
      <c r="G3" s="15" t="s">
        <v>238</v>
      </c>
      <c r="H3" s="15" t="s">
        <v>237</v>
      </c>
      <c r="I3" s="15" t="s">
        <v>239</v>
      </c>
      <c r="J3" s="15" t="s">
        <v>237</v>
      </c>
      <c r="K3" s="15" t="s">
        <v>240</v>
      </c>
      <c r="L3" s="15" t="s">
        <v>237</v>
      </c>
      <c r="M3" s="15" t="s">
        <v>241</v>
      </c>
      <c r="N3" s="15" t="s">
        <v>237</v>
      </c>
      <c r="O3" s="15" t="s">
        <v>242</v>
      </c>
      <c r="P3" s="15" t="s">
        <v>237</v>
      </c>
    </row>
    <row r="4" spans="1:18" x14ac:dyDescent="0.2">
      <c r="A4" s="25" t="s">
        <v>44</v>
      </c>
      <c r="B4" s="16">
        <v>137428986</v>
      </c>
      <c r="C4" s="16">
        <v>16672938</v>
      </c>
      <c r="D4" s="18">
        <v>0.12132038869878586</v>
      </c>
      <c r="E4" s="16">
        <v>2793023</v>
      </c>
      <c r="F4" s="18">
        <v>0.16751834619669312</v>
      </c>
      <c r="G4" s="16">
        <v>604804</v>
      </c>
      <c r="H4" s="18">
        <v>3.6274590597050141E-2</v>
      </c>
      <c r="I4" s="16">
        <v>1257737</v>
      </c>
      <c r="J4" s="18">
        <v>7.5435835004004692E-2</v>
      </c>
      <c r="K4" s="16">
        <v>654889</v>
      </c>
      <c r="L4" s="18">
        <v>3.9278560263344107E-2</v>
      </c>
      <c r="M4" s="16">
        <v>5440455</v>
      </c>
      <c r="N4" s="18">
        <v>0.32630451813591582</v>
      </c>
      <c r="O4" s="16">
        <v>5922030</v>
      </c>
      <c r="P4" s="18">
        <v>0.35518814980299213</v>
      </c>
      <c r="R4" s="26"/>
    </row>
    <row r="5" spans="1:18" x14ac:dyDescent="0.2">
      <c r="A5" s="25" t="s">
        <v>10</v>
      </c>
      <c r="B5" s="16">
        <v>2897259</v>
      </c>
      <c r="C5" s="16">
        <v>279762</v>
      </c>
      <c r="D5" s="18">
        <v>9.6560921892036577E-2</v>
      </c>
      <c r="E5" s="16">
        <v>36805</v>
      </c>
      <c r="F5" s="18">
        <v>0.13155825308655214</v>
      </c>
      <c r="G5" s="16">
        <v>12327</v>
      </c>
      <c r="H5" s="18">
        <v>4.4062453085122355E-2</v>
      </c>
      <c r="I5" s="16">
        <v>16147</v>
      </c>
      <c r="J5" s="18">
        <v>5.7716916521900759E-2</v>
      </c>
      <c r="K5" s="16">
        <v>14676</v>
      </c>
      <c r="L5" s="18">
        <v>5.2458875758680593E-2</v>
      </c>
      <c r="M5" s="16">
        <v>127398</v>
      </c>
      <c r="N5" s="18">
        <v>0.45537993008342803</v>
      </c>
      <c r="O5" s="16">
        <v>72409</v>
      </c>
      <c r="P5" s="18">
        <v>0.25882357146431612</v>
      </c>
      <c r="R5" s="26"/>
    </row>
    <row r="6" spans="1:18" x14ac:dyDescent="0.2">
      <c r="A6" s="16" t="s">
        <v>11</v>
      </c>
      <c r="B6" s="16">
        <v>294418</v>
      </c>
      <c r="C6" s="16">
        <v>24896</v>
      </c>
      <c r="D6" s="18">
        <v>8.4560047279717956E-2</v>
      </c>
      <c r="E6" s="16">
        <v>5399</v>
      </c>
      <c r="F6" s="18">
        <v>0.21686214652956298</v>
      </c>
      <c r="G6" s="16">
        <v>3474</v>
      </c>
      <c r="H6" s="18">
        <v>0.13954048843187661</v>
      </c>
      <c r="I6" s="16">
        <v>1234</v>
      </c>
      <c r="J6" s="18">
        <v>4.9566195372750643E-2</v>
      </c>
      <c r="K6" s="16">
        <v>4798</v>
      </c>
      <c r="L6" s="18">
        <v>0.19272172236503857</v>
      </c>
      <c r="M6" s="16">
        <v>4626</v>
      </c>
      <c r="N6" s="18">
        <v>0.18581298200514137</v>
      </c>
      <c r="O6" s="16">
        <v>5365</v>
      </c>
      <c r="P6" s="18">
        <v>0.21549646529562982</v>
      </c>
      <c r="R6" s="26"/>
    </row>
    <row r="7" spans="1:18" x14ac:dyDescent="0.2">
      <c r="A7" s="19" t="s">
        <v>12</v>
      </c>
      <c r="B7" s="16">
        <v>7052</v>
      </c>
      <c r="C7" s="16">
        <v>526</v>
      </c>
      <c r="D7" s="18">
        <v>7.4588769143505387E-2</v>
      </c>
      <c r="E7" s="16">
        <v>225</v>
      </c>
      <c r="F7" s="18">
        <v>0.42775665399239543</v>
      </c>
      <c r="G7" s="16">
        <v>178</v>
      </c>
      <c r="H7" s="18">
        <v>0.33840304182509506</v>
      </c>
      <c r="I7" s="16">
        <v>0</v>
      </c>
      <c r="J7" s="18">
        <v>0</v>
      </c>
      <c r="K7" s="16">
        <v>20</v>
      </c>
      <c r="L7" s="18">
        <v>3.8022813688212927E-2</v>
      </c>
      <c r="M7" s="16">
        <v>40</v>
      </c>
      <c r="N7" s="18">
        <v>7.6045627376425853E-2</v>
      </c>
      <c r="O7" s="16">
        <v>63</v>
      </c>
      <c r="P7" s="18">
        <v>0.11977186311787072</v>
      </c>
      <c r="R7" s="26"/>
    </row>
    <row r="8" spans="1:18" x14ac:dyDescent="0.2">
      <c r="A8" s="19" t="s">
        <v>45</v>
      </c>
      <c r="B8" s="16">
        <v>11971</v>
      </c>
      <c r="C8" s="16">
        <v>2142</v>
      </c>
      <c r="D8" s="18">
        <v>0.17893242001503634</v>
      </c>
      <c r="E8" s="16">
        <v>275</v>
      </c>
      <c r="F8" s="18">
        <v>0.12838468720821661</v>
      </c>
      <c r="G8" s="16">
        <v>169</v>
      </c>
      <c r="H8" s="18">
        <v>7.8898225957049484E-2</v>
      </c>
      <c r="I8" s="16">
        <v>36</v>
      </c>
      <c r="J8" s="18">
        <v>1.680672268907563E-2</v>
      </c>
      <c r="K8" s="16">
        <v>61</v>
      </c>
      <c r="L8" s="18">
        <v>2.8478057889822595E-2</v>
      </c>
      <c r="M8" s="16">
        <v>1244</v>
      </c>
      <c r="N8" s="18">
        <v>0.58076563958916905</v>
      </c>
      <c r="O8" s="16">
        <v>357</v>
      </c>
      <c r="P8" s="18">
        <v>0.16666666666666666</v>
      </c>
      <c r="R8" s="26"/>
    </row>
    <row r="9" spans="1:18" x14ac:dyDescent="0.2">
      <c r="A9" s="19" t="s">
        <v>46</v>
      </c>
      <c r="B9" s="16">
        <v>6148</v>
      </c>
      <c r="C9" s="16">
        <v>721</v>
      </c>
      <c r="D9" s="18">
        <v>0.11727391021470397</v>
      </c>
      <c r="E9" s="16">
        <v>76</v>
      </c>
      <c r="F9" s="18">
        <v>0.10540915395284327</v>
      </c>
      <c r="G9" s="16">
        <v>23</v>
      </c>
      <c r="H9" s="18">
        <v>3.1900138696255201E-2</v>
      </c>
      <c r="I9" s="16">
        <v>132</v>
      </c>
      <c r="J9" s="18">
        <v>0.18307905686546463</v>
      </c>
      <c r="K9" s="16">
        <v>0</v>
      </c>
      <c r="L9" s="18">
        <v>0</v>
      </c>
      <c r="M9" s="16">
        <v>404</v>
      </c>
      <c r="N9" s="18">
        <v>0.56033287101248264</v>
      </c>
      <c r="O9" s="16">
        <v>86</v>
      </c>
      <c r="P9" s="18">
        <v>0.11927877947295423</v>
      </c>
      <c r="R9" s="26"/>
    </row>
    <row r="10" spans="1:18" x14ac:dyDescent="0.2">
      <c r="A10" s="19" t="s">
        <v>15</v>
      </c>
      <c r="B10" s="16">
        <v>23854</v>
      </c>
      <c r="C10" s="16">
        <v>1156</v>
      </c>
      <c r="D10" s="18">
        <v>4.8461473966630336E-2</v>
      </c>
      <c r="E10" s="16">
        <v>607</v>
      </c>
      <c r="F10" s="18">
        <v>0.52508650519031141</v>
      </c>
      <c r="G10" s="16">
        <v>249</v>
      </c>
      <c r="H10" s="18">
        <v>0.21539792387543252</v>
      </c>
      <c r="I10" s="16">
        <v>62</v>
      </c>
      <c r="J10" s="18">
        <v>5.3633217993079588E-2</v>
      </c>
      <c r="K10" s="16">
        <v>18</v>
      </c>
      <c r="L10" s="18">
        <v>1.5570934256055362E-2</v>
      </c>
      <c r="M10" s="16">
        <v>71</v>
      </c>
      <c r="N10" s="18">
        <v>6.1418685121107264E-2</v>
      </c>
      <c r="O10" s="16">
        <v>149</v>
      </c>
      <c r="P10" s="18">
        <v>0.12889273356401384</v>
      </c>
      <c r="R10" s="26"/>
    </row>
    <row r="11" spans="1:18" x14ac:dyDescent="0.2">
      <c r="A11" s="19" t="s">
        <v>16</v>
      </c>
      <c r="B11" s="16">
        <v>9573</v>
      </c>
      <c r="C11" s="16">
        <v>411</v>
      </c>
      <c r="D11" s="18">
        <v>4.293324976496396E-2</v>
      </c>
      <c r="E11" s="16">
        <v>118</v>
      </c>
      <c r="F11" s="18">
        <v>0.28710462287104621</v>
      </c>
      <c r="G11" s="16">
        <v>0</v>
      </c>
      <c r="H11" s="18">
        <v>0</v>
      </c>
      <c r="I11" s="16">
        <v>0</v>
      </c>
      <c r="J11" s="18">
        <v>0</v>
      </c>
      <c r="K11" s="16">
        <v>33</v>
      </c>
      <c r="L11" s="18">
        <v>8.0291970802919707E-2</v>
      </c>
      <c r="M11" s="16">
        <v>93</v>
      </c>
      <c r="N11" s="18">
        <v>0.22627737226277372</v>
      </c>
      <c r="O11" s="16">
        <v>167</v>
      </c>
      <c r="P11" s="18">
        <v>0.40632603406326034</v>
      </c>
      <c r="R11" s="26"/>
    </row>
    <row r="12" spans="1:18" x14ac:dyDescent="0.2">
      <c r="A12" s="19" t="s">
        <v>17</v>
      </c>
      <c r="B12" s="16">
        <v>48868</v>
      </c>
      <c r="C12" s="16">
        <v>4567</v>
      </c>
      <c r="D12" s="18">
        <v>9.3455840222640585E-2</v>
      </c>
      <c r="E12" s="16">
        <v>740</v>
      </c>
      <c r="F12" s="18">
        <v>0.16203196846945478</v>
      </c>
      <c r="G12" s="16">
        <v>545</v>
      </c>
      <c r="H12" s="18">
        <v>0.11933435515655791</v>
      </c>
      <c r="I12" s="16">
        <v>174</v>
      </c>
      <c r="J12" s="18">
        <v>3.8099408802277204E-2</v>
      </c>
      <c r="K12" s="16">
        <v>2131</v>
      </c>
      <c r="L12" s="18">
        <v>0.46660827676811911</v>
      </c>
      <c r="M12" s="16">
        <v>156</v>
      </c>
      <c r="N12" s="18">
        <v>3.4158090650317496E-2</v>
      </c>
      <c r="O12" s="16">
        <v>821</v>
      </c>
      <c r="P12" s="18">
        <v>0.17976790015327349</v>
      </c>
      <c r="R12" s="26"/>
    </row>
    <row r="13" spans="1:18" x14ac:dyDescent="0.2">
      <c r="A13" s="19" t="s">
        <v>18</v>
      </c>
      <c r="B13" s="16">
        <v>9966</v>
      </c>
      <c r="C13" s="16">
        <v>2024</v>
      </c>
      <c r="D13" s="18">
        <v>0.20309050772626933</v>
      </c>
      <c r="E13" s="16">
        <v>190</v>
      </c>
      <c r="F13" s="18">
        <v>9.3873517786561264E-2</v>
      </c>
      <c r="G13" s="16">
        <v>306</v>
      </c>
      <c r="H13" s="18">
        <v>0.15118577075098813</v>
      </c>
      <c r="I13" s="16">
        <v>94</v>
      </c>
      <c r="J13" s="18">
        <v>4.6442687747035576E-2</v>
      </c>
      <c r="K13" s="16">
        <v>200</v>
      </c>
      <c r="L13" s="18">
        <v>9.8814229249011856E-2</v>
      </c>
      <c r="M13" s="16">
        <v>1011</v>
      </c>
      <c r="N13" s="18">
        <v>0.49950592885375494</v>
      </c>
      <c r="O13" s="16">
        <v>223</v>
      </c>
      <c r="P13" s="18">
        <v>0.11017786561264822</v>
      </c>
      <c r="R13" s="26"/>
    </row>
    <row r="14" spans="1:18" x14ac:dyDescent="0.2">
      <c r="A14" s="19" t="s">
        <v>19</v>
      </c>
      <c r="B14" s="16">
        <v>17974</v>
      </c>
      <c r="C14" s="16">
        <v>1409</v>
      </c>
      <c r="D14" s="18">
        <v>7.8391009235562484E-2</v>
      </c>
      <c r="E14" s="16">
        <v>243</v>
      </c>
      <c r="F14" s="18">
        <v>0.17246273953158267</v>
      </c>
      <c r="G14" s="16">
        <v>113</v>
      </c>
      <c r="H14" s="18">
        <v>8.0198722498225697E-2</v>
      </c>
      <c r="I14" s="16">
        <v>78</v>
      </c>
      <c r="J14" s="18">
        <v>5.5358410220014191E-2</v>
      </c>
      <c r="K14" s="16">
        <v>38</v>
      </c>
      <c r="L14" s="18">
        <v>2.6969481902058199E-2</v>
      </c>
      <c r="M14" s="16">
        <v>51</v>
      </c>
      <c r="N14" s="18">
        <v>3.61958836053939E-2</v>
      </c>
      <c r="O14" s="16">
        <v>886</v>
      </c>
      <c r="P14" s="18">
        <v>0.62881476224272537</v>
      </c>
      <c r="R14" s="26"/>
    </row>
    <row r="15" spans="1:18" x14ac:dyDescent="0.2">
      <c r="A15" s="19" t="s">
        <v>20</v>
      </c>
      <c r="B15" s="16">
        <v>12705</v>
      </c>
      <c r="C15" s="16">
        <v>1479</v>
      </c>
      <c r="D15" s="18">
        <v>0.11641086186540732</v>
      </c>
      <c r="E15" s="16">
        <v>347</v>
      </c>
      <c r="F15" s="18">
        <v>0.23461798512508453</v>
      </c>
      <c r="G15" s="16">
        <v>403</v>
      </c>
      <c r="H15" s="18">
        <v>0.27248140635564572</v>
      </c>
      <c r="I15" s="16">
        <v>0</v>
      </c>
      <c r="J15" s="18">
        <v>0</v>
      </c>
      <c r="K15" s="16">
        <v>77</v>
      </c>
      <c r="L15" s="18">
        <v>5.2062204192021636E-2</v>
      </c>
      <c r="M15" s="16">
        <v>363</v>
      </c>
      <c r="N15" s="18">
        <v>0.24543610547667344</v>
      </c>
      <c r="O15" s="16">
        <v>289</v>
      </c>
      <c r="P15" s="18">
        <v>0.19540229885057472</v>
      </c>
      <c r="R15" s="26"/>
    </row>
    <row r="16" spans="1:18" x14ac:dyDescent="0.2">
      <c r="A16" s="19" t="s">
        <v>21</v>
      </c>
      <c r="B16" s="16">
        <v>13752</v>
      </c>
      <c r="C16" s="16">
        <v>605</v>
      </c>
      <c r="D16" s="18">
        <v>4.3993600930773709E-2</v>
      </c>
      <c r="E16" s="16">
        <v>222</v>
      </c>
      <c r="F16" s="18">
        <v>0.3669421487603306</v>
      </c>
      <c r="G16" s="16">
        <v>0</v>
      </c>
      <c r="H16" s="18">
        <v>0</v>
      </c>
      <c r="I16" s="16">
        <v>66</v>
      </c>
      <c r="J16" s="18">
        <v>0.10909090909090909</v>
      </c>
      <c r="K16" s="16">
        <v>63</v>
      </c>
      <c r="L16" s="18">
        <v>0.10413223140495868</v>
      </c>
      <c r="M16" s="16">
        <v>10</v>
      </c>
      <c r="N16" s="18">
        <v>1.6528925619834711E-2</v>
      </c>
      <c r="O16" s="16">
        <v>244</v>
      </c>
      <c r="P16" s="18">
        <v>0.40330578512396692</v>
      </c>
      <c r="R16" s="26"/>
    </row>
    <row r="17" spans="1:18" x14ac:dyDescent="0.2">
      <c r="A17" s="19" t="s">
        <v>22</v>
      </c>
      <c r="B17" s="16">
        <v>17122</v>
      </c>
      <c r="C17" s="16">
        <v>699</v>
      </c>
      <c r="D17" s="18">
        <v>4.0824670015185145E-2</v>
      </c>
      <c r="E17" s="16">
        <v>168</v>
      </c>
      <c r="F17" s="18">
        <v>0.24034334763948498</v>
      </c>
      <c r="G17" s="16">
        <v>67</v>
      </c>
      <c r="H17" s="18">
        <v>9.5851216022889846E-2</v>
      </c>
      <c r="I17" s="16">
        <v>135</v>
      </c>
      <c r="J17" s="18">
        <v>0.19313304721030042</v>
      </c>
      <c r="K17" s="16">
        <v>8</v>
      </c>
      <c r="L17" s="18">
        <v>1.1444921316165951E-2</v>
      </c>
      <c r="M17" s="16">
        <v>28</v>
      </c>
      <c r="N17" s="18">
        <v>4.005722460658083E-2</v>
      </c>
      <c r="O17" s="16">
        <v>293</v>
      </c>
      <c r="P17" s="18">
        <v>0.41917024320457796</v>
      </c>
      <c r="R17" s="26"/>
    </row>
    <row r="18" spans="1:18" x14ac:dyDescent="0.2">
      <c r="A18" s="19" t="s">
        <v>23</v>
      </c>
      <c r="B18" s="16">
        <v>280</v>
      </c>
      <c r="C18" s="16">
        <v>11</v>
      </c>
      <c r="D18" s="18">
        <v>3.9285714285714285E-2</v>
      </c>
      <c r="E18" s="16">
        <v>3</v>
      </c>
      <c r="F18" s="18">
        <v>0.27272727272727271</v>
      </c>
      <c r="G18" s="16">
        <v>0</v>
      </c>
      <c r="H18" s="18">
        <v>0</v>
      </c>
      <c r="I18" s="16">
        <v>0</v>
      </c>
      <c r="J18" s="18">
        <v>0</v>
      </c>
      <c r="K18" s="16">
        <v>0</v>
      </c>
      <c r="L18" s="18">
        <v>0</v>
      </c>
      <c r="M18" s="16">
        <v>0</v>
      </c>
      <c r="N18" s="18">
        <v>0</v>
      </c>
      <c r="O18" s="16">
        <v>8</v>
      </c>
      <c r="P18" s="18">
        <v>0.72727272727272729</v>
      </c>
      <c r="R18" s="26"/>
    </row>
    <row r="19" spans="1:18" x14ac:dyDescent="0.2">
      <c r="A19" s="19" t="s">
        <v>24</v>
      </c>
      <c r="B19" s="16">
        <v>9997</v>
      </c>
      <c r="C19" s="16">
        <v>824</v>
      </c>
      <c r="D19" s="18">
        <v>8.2424727418225471E-2</v>
      </c>
      <c r="E19" s="16">
        <v>282</v>
      </c>
      <c r="F19" s="18">
        <v>0.34223300970873788</v>
      </c>
      <c r="G19" s="16">
        <v>123</v>
      </c>
      <c r="H19" s="18">
        <v>0.14927184466019416</v>
      </c>
      <c r="I19" s="16">
        <v>136</v>
      </c>
      <c r="J19" s="18">
        <v>0.1650485436893204</v>
      </c>
      <c r="K19" s="16">
        <v>70</v>
      </c>
      <c r="L19" s="18">
        <v>8.4951456310679616E-2</v>
      </c>
      <c r="M19" s="16">
        <v>0</v>
      </c>
      <c r="N19" s="18">
        <v>0</v>
      </c>
      <c r="O19" s="16">
        <v>213</v>
      </c>
      <c r="P19" s="18">
        <v>0.25849514563106796</v>
      </c>
      <c r="R19" s="26"/>
    </row>
    <row r="20" spans="1:18" x14ac:dyDescent="0.2">
      <c r="A20" s="19" t="s">
        <v>47</v>
      </c>
      <c r="B20" s="16">
        <v>6993</v>
      </c>
      <c r="C20" s="16">
        <v>306</v>
      </c>
      <c r="D20" s="18">
        <v>4.3758043758043756E-2</v>
      </c>
      <c r="E20" s="16">
        <v>93</v>
      </c>
      <c r="F20" s="18">
        <v>0.30392156862745096</v>
      </c>
      <c r="G20" s="16">
        <v>36</v>
      </c>
      <c r="H20" s="18">
        <v>0.11764705882352941</v>
      </c>
      <c r="I20" s="16">
        <v>0</v>
      </c>
      <c r="J20" s="18">
        <v>0</v>
      </c>
      <c r="K20" s="16">
        <v>28</v>
      </c>
      <c r="L20" s="18">
        <v>9.1503267973856203E-2</v>
      </c>
      <c r="M20" s="16">
        <v>15</v>
      </c>
      <c r="N20" s="18">
        <v>4.9019607843137254E-2</v>
      </c>
      <c r="O20" s="16">
        <v>134</v>
      </c>
      <c r="P20" s="18">
        <v>0.43790849673202614</v>
      </c>
      <c r="R20" s="26"/>
    </row>
    <row r="21" spans="1:18" x14ac:dyDescent="0.2">
      <c r="A21" s="19" t="s">
        <v>48</v>
      </c>
      <c r="B21" s="16">
        <v>5829</v>
      </c>
      <c r="C21" s="16">
        <v>743</v>
      </c>
      <c r="D21" s="18">
        <v>0.12746611768742494</v>
      </c>
      <c r="E21" s="16">
        <v>108</v>
      </c>
      <c r="F21" s="18">
        <v>0.14535666218034993</v>
      </c>
      <c r="G21" s="16">
        <v>103</v>
      </c>
      <c r="H21" s="18">
        <v>0.1386271870794078</v>
      </c>
      <c r="I21" s="16">
        <v>15</v>
      </c>
      <c r="J21" s="18">
        <v>2.0188425302826378E-2</v>
      </c>
      <c r="K21" s="16">
        <v>18</v>
      </c>
      <c r="L21" s="18">
        <v>2.4226110363391656E-2</v>
      </c>
      <c r="M21" s="16">
        <v>358</v>
      </c>
      <c r="N21" s="18">
        <v>0.48183041722745623</v>
      </c>
      <c r="O21" s="16">
        <v>141</v>
      </c>
      <c r="P21" s="18">
        <v>0.18977119784656796</v>
      </c>
      <c r="R21" s="26"/>
    </row>
    <row r="22" spans="1:18" x14ac:dyDescent="0.2">
      <c r="A22" s="19" t="s">
        <v>27</v>
      </c>
      <c r="B22" s="16">
        <v>12055</v>
      </c>
      <c r="C22" s="16">
        <v>573</v>
      </c>
      <c r="D22" s="18">
        <v>4.7532144338448774E-2</v>
      </c>
      <c r="E22" s="16">
        <v>175</v>
      </c>
      <c r="F22" s="18">
        <v>0.30541012216404889</v>
      </c>
      <c r="G22" s="16">
        <v>21</v>
      </c>
      <c r="H22" s="18">
        <v>3.6649214659685861E-2</v>
      </c>
      <c r="I22" s="16">
        <v>55</v>
      </c>
      <c r="J22" s="18">
        <v>9.5986038394415357E-2</v>
      </c>
      <c r="K22" s="16">
        <v>103</v>
      </c>
      <c r="L22" s="18">
        <v>0.17975567190226877</v>
      </c>
      <c r="M22" s="16">
        <v>0</v>
      </c>
      <c r="N22" s="18">
        <v>0</v>
      </c>
      <c r="O22" s="16">
        <v>219</v>
      </c>
      <c r="P22" s="18">
        <v>0.38219895287958117</v>
      </c>
      <c r="R22" s="26"/>
    </row>
    <row r="23" spans="1:18" x14ac:dyDescent="0.2">
      <c r="A23" s="19" t="s">
        <v>28</v>
      </c>
      <c r="B23" s="16">
        <v>21699</v>
      </c>
      <c r="C23" s="16">
        <v>1800</v>
      </c>
      <c r="D23" s="18">
        <v>8.2953131480713399E-2</v>
      </c>
      <c r="E23" s="16">
        <v>285</v>
      </c>
      <c r="F23" s="18">
        <v>0.15833333333333333</v>
      </c>
      <c r="G23" s="16">
        <v>384</v>
      </c>
      <c r="H23" s="18">
        <v>0.21333333333333335</v>
      </c>
      <c r="I23" s="16">
        <v>43</v>
      </c>
      <c r="J23" s="18">
        <v>2.388888888888889E-2</v>
      </c>
      <c r="K23" s="16">
        <v>900</v>
      </c>
      <c r="L23" s="18">
        <v>0.5</v>
      </c>
      <c r="M23" s="16">
        <v>0</v>
      </c>
      <c r="N23" s="18">
        <v>0</v>
      </c>
      <c r="O23" s="16">
        <v>188</v>
      </c>
      <c r="P23" s="18">
        <v>0.10444444444444445</v>
      </c>
      <c r="R23" s="26"/>
    </row>
    <row r="24" spans="1:18" x14ac:dyDescent="0.2">
      <c r="A24" s="19" t="s">
        <v>29</v>
      </c>
      <c r="B24" s="16">
        <v>18219</v>
      </c>
      <c r="C24" s="16">
        <v>1489</v>
      </c>
      <c r="D24" s="18">
        <v>8.172786651298096E-2</v>
      </c>
      <c r="E24" s="16">
        <v>232</v>
      </c>
      <c r="F24" s="18">
        <v>0.15580926796507724</v>
      </c>
      <c r="G24" s="16">
        <v>194</v>
      </c>
      <c r="H24" s="18">
        <v>0.13028878441907321</v>
      </c>
      <c r="I24" s="16">
        <v>102</v>
      </c>
      <c r="J24" s="18">
        <v>6.8502350570852924E-2</v>
      </c>
      <c r="K24" s="16">
        <v>693</v>
      </c>
      <c r="L24" s="18">
        <v>0.46541302887844188</v>
      </c>
      <c r="M24" s="16">
        <v>66</v>
      </c>
      <c r="N24" s="18">
        <v>4.4325050369375417E-2</v>
      </c>
      <c r="O24" s="16">
        <v>202</v>
      </c>
      <c r="P24" s="18">
        <v>0.1356615177971793</v>
      </c>
      <c r="R24" s="26"/>
    </row>
    <row r="25" spans="1:18" x14ac:dyDescent="0.2">
      <c r="A25" s="19" t="s">
        <v>30</v>
      </c>
      <c r="B25" s="16">
        <v>3259</v>
      </c>
      <c r="C25" s="16">
        <v>631</v>
      </c>
      <c r="D25" s="18">
        <v>0.19361767413316969</v>
      </c>
      <c r="E25" s="16">
        <v>160</v>
      </c>
      <c r="F25" s="18">
        <v>0.25356576862123614</v>
      </c>
      <c r="G25" s="16">
        <v>233</v>
      </c>
      <c r="H25" s="18">
        <v>0.36925515055467512</v>
      </c>
      <c r="I25" s="16">
        <v>27</v>
      </c>
      <c r="J25" s="18">
        <v>4.2789223454833596E-2</v>
      </c>
      <c r="K25" s="16">
        <v>122</v>
      </c>
      <c r="L25" s="18">
        <v>0.19334389857369255</v>
      </c>
      <c r="M25" s="16">
        <v>64</v>
      </c>
      <c r="N25" s="18">
        <v>0.10142630744849446</v>
      </c>
      <c r="O25" s="16">
        <v>25</v>
      </c>
      <c r="P25" s="18">
        <v>3.9619651347068144E-2</v>
      </c>
      <c r="R25" s="26"/>
    </row>
    <row r="26" spans="1:18" x14ac:dyDescent="0.2">
      <c r="A26" s="19" t="s">
        <v>49</v>
      </c>
      <c r="B26" s="16">
        <v>18296</v>
      </c>
      <c r="C26" s="16">
        <v>1477</v>
      </c>
      <c r="D26" s="18">
        <v>8.0728027984258849E-2</v>
      </c>
      <c r="E26" s="16">
        <v>418</v>
      </c>
      <c r="F26" s="18">
        <v>0.28300609343263372</v>
      </c>
      <c r="G26" s="16">
        <v>200</v>
      </c>
      <c r="H26" s="18">
        <v>0.13540961408259986</v>
      </c>
      <c r="I26" s="16">
        <v>11</v>
      </c>
      <c r="J26" s="18">
        <v>7.4475287745429924E-3</v>
      </c>
      <c r="K26" s="16">
        <v>160</v>
      </c>
      <c r="L26" s="18">
        <v>0.1083276912660799</v>
      </c>
      <c r="M26" s="16">
        <v>472</v>
      </c>
      <c r="N26" s="18">
        <v>0.3195666892349357</v>
      </c>
      <c r="O26" s="16">
        <v>216</v>
      </c>
      <c r="P26" s="18">
        <v>0.14624238320920785</v>
      </c>
      <c r="R26" s="26"/>
    </row>
    <row r="27" spans="1:18" x14ac:dyDescent="0.2">
      <c r="A27" s="19" t="s">
        <v>50</v>
      </c>
      <c r="B27" s="16">
        <v>4119</v>
      </c>
      <c r="C27" s="16">
        <v>561</v>
      </c>
      <c r="D27" s="18">
        <v>0.13619810633648943</v>
      </c>
      <c r="E27" s="16">
        <v>149</v>
      </c>
      <c r="F27" s="18">
        <v>0.26559714795008915</v>
      </c>
      <c r="G27" s="16">
        <v>92</v>
      </c>
      <c r="H27" s="18">
        <v>0.16399286987522282</v>
      </c>
      <c r="I27" s="16">
        <v>20</v>
      </c>
      <c r="J27" s="18">
        <v>3.5650623885918005E-2</v>
      </c>
      <c r="K27" s="16">
        <v>0</v>
      </c>
      <c r="L27" s="18">
        <v>0</v>
      </c>
      <c r="M27" s="16">
        <v>180</v>
      </c>
      <c r="N27" s="18">
        <v>0.32085561497326204</v>
      </c>
      <c r="O27" s="16">
        <v>120</v>
      </c>
      <c r="P27" s="18">
        <v>0.21390374331550802</v>
      </c>
      <c r="R27" s="26"/>
    </row>
    <row r="28" spans="1:18" x14ac:dyDescent="0.2">
      <c r="A28" s="19" t="s">
        <v>33</v>
      </c>
      <c r="B28" s="16">
        <v>14675</v>
      </c>
      <c r="C28" s="16">
        <v>742</v>
      </c>
      <c r="D28" s="18">
        <v>5.0562180579216354E-2</v>
      </c>
      <c r="E28" s="16">
        <v>283</v>
      </c>
      <c r="F28" s="18">
        <v>0.38140161725067384</v>
      </c>
      <c r="G28" s="16">
        <v>35</v>
      </c>
      <c r="H28" s="18">
        <v>4.716981132075472E-2</v>
      </c>
      <c r="I28" s="16">
        <v>48</v>
      </c>
      <c r="J28" s="18">
        <v>6.4690026954177901E-2</v>
      </c>
      <c r="K28" s="16">
        <v>55</v>
      </c>
      <c r="L28" s="18">
        <v>7.4123989218328842E-2</v>
      </c>
      <c r="M28" s="16">
        <v>0</v>
      </c>
      <c r="N28" s="18">
        <v>0</v>
      </c>
      <c r="O28" s="16">
        <v>321</v>
      </c>
      <c r="P28" s="18">
        <v>0.43261455525606468</v>
      </c>
      <c r="R28" s="26"/>
    </row>
    <row r="30" spans="1:18" x14ac:dyDescent="0.2">
      <c r="A30" t="s">
        <v>34</v>
      </c>
    </row>
    <row r="31" spans="1:18" x14ac:dyDescent="0.2">
      <c r="A31" s="22" t="s">
        <v>243</v>
      </c>
    </row>
    <row r="32" spans="1:18" x14ac:dyDescent="0.2">
      <c r="A32" s="22" t="s">
        <v>244</v>
      </c>
    </row>
    <row r="33" spans="1:1" x14ac:dyDescent="0.2">
      <c r="A33" s="22" t="s">
        <v>245</v>
      </c>
    </row>
    <row r="34" spans="1:1" x14ac:dyDescent="0.2">
      <c r="A34" s="22"/>
    </row>
    <row r="35" spans="1:1" x14ac:dyDescent="0.2">
      <c r="A35" t="s">
        <v>246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A9D08E"/>
  </sheetPr>
  <dimension ref="A1:J33"/>
  <sheetViews>
    <sheetView workbookViewId="0">
      <pane xSplit="1" topLeftCell="C1" activePane="topRight" state="frozen"/>
      <selection pane="topRight" activeCell="A3" sqref="A3:J28"/>
    </sheetView>
  </sheetViews>
  <sheetFormatPr baseColWidth="10" defaultColWidth="8.83203125" defaultRowHeight="15" x14ac:dyDescent="0.2"/>
  <cols>
    <col min="1" max="1" width="31.33203125" customWidth="1"/>
    <col min="2" max="2" width="12.5" hidden="1" customWidth="1"/>
    <col min="3" max="3" width="11.5" customWidth="1"/>
    <col min="4" max="4" width="6.6640625" customWidth="1"/>
    <col min="5" max="5" width="10.1640625" bestFit="1" customWidth="1"/>
    <col min="6" max="6" width="7.1640625" customWidth="1"/>
    <col min="7" max="7" width="10.1640625" bestFit="1" customWidth="1"/>
    <col min="8" max="8" width="6.33203125" customWidth="1"/>
    <col min="9" max="9" width="11" bestFit="1" customWidth="1"/>
    <col min="10" max="10" width="7.5" customWidth="1"/>
  </cols>
  <sheetData>
    <row r="1" spans="1:10" ht="19" x14ac:dyDescent="0.25">
      <c r="A1" s="38" t="s">
        <v>247</v>
      </c>
    </row>
    <row r="2" spans="1:10" x14ac:dyDescent="0.2">
      <c r="A2" s="22"/>
    </row>
    <row r="3" spans="1:10" ht="31.5" customHeight="1" x14ac:dyDescent="0.2">
      <c r="A3" s="14"/>
      <c r="B3" s="14" t="s">
        <v>198</v>
      </c>
      <c r="C3" s="14" t="s">
        <v>248</v>
      </c>
      <c r="D3" s="15" t="s">
        <v>3</v>
      </c>
      <c r="E3" s="14" t="s">
        <v>249</v>
      </c>
      <c r="F3" s="15" t="s">
        <v>3</v>
      </c>
      <c r="G3" s="14" t="s">
        <v>250</v>
      </c>
      <c r="H3" s="15" t="s">
        <v>3</v>
      </c>
      <c r="I3" s="14" t="s">
        <v>251</v>
      </c>
      <c r="J3" s="15" t="s">
        <v>3</v>
      </c>
    </row>
    <row r="4" spans="1:10" x14ac:dyDescent="0.2">
      <c r="A4" s="49" t="s">
        <v>44</v>
      </c>
      <c r="B4" s="16">
        <v>122802852</v>
      </c>
      <c r="C4" s="16">
        <v>10571819</v>
      </c>
      <c r="D4" s="18">
        <v>8.608773190381605E-2</v>
      </c>
      <c r="E4" s="16">
        <v>39818356</v>
      </c>
      <c r="F4" s="18">
        <v>0.32424618281666617</v>
      </c>
      <c r="G4" s="16">
        <v>45290066</v>
      </c>
      <c r="H4" s="18">
        <v>0.36880304701718164</v>
      </c>
      <c r="I4" s="16">
        <v>27122611</v>
      </c>
      <c r="J4" s="18">
        <v>0.22086303826233611</v>
      </c>
    </row>
    <row r="5" spans="1:10" x14ac:dyDescent="0.2">
      <c r="A5" s="49" t="s">
        <v>10</v>
      </c>
      <c r="B5" s="16">
        <v>2650680</v>
      </c>
      <c r="C5" s="16">
        <v>329176</v>
      </c>
      <c r="D5" s="18">
        <v>0.12418549202468801</v>
      </c>
      <c r="E5" s="16">
        <v>927508</v>
      </c>
      <c r="F5" s="18">
        <v>0.34991322981272732</v>
      </c>
      <c r="G5" s="16">
        <v>950866</v>
      </c>
      <c r="H5" s="18">
        <v>0.35872530822279564</v>
      </c>
      <c r="I5" s="16">
        <v>443130</v>
      </c>
      <c r="J5" s="18">
        <v>0.16717596993978903</v>
      </c>
    </row>
    <row r="6" spans="1:10" x14ac:dyDescent="0.2">
      <c r="A6" s="49" t="s">
        <v>11</v>
      </c>
      <c r="B6" s="16">
        <v>271553</v>
      </c>
      <c r="C6" s="16">
        <v>96909</v>
      </c>
      <c r="D6" s="18">
        <v>0.35686956137475928</v>
      </c>
      <c r="E6" s="16">
        <v>112219</v>
      </c>
      <c r="F6" s="18">
        <v>0.41324897902066998</v>
      </c>
      <c r="G6" s="16">
        <v>46236</v>
      </c>
      <c r="H6" s="18">
        <v>0.17026510478617435</v>
      </c>
      <c r="I6" s="16">
        <v>16189</v>
      </c>
      <c r="J6" s="18">
        <v>5.961635481839641E-2</v>
      </c>
    </row>
    <row r="7" spans="1:10" x14ac:dyDescent="0.2">
      <c r="A7" s="19" t="s">
        <v>12</v>
      </c>
      <c r="B7" s="16">
        <v>6526</v>
      </c>
      <c r="C7" s="16">
        <v>3327</v>
      </c>
      <c r="D7" s="18">
        <v>0.50980692614158751</v>
      </c>
      <c r="E7" s="16">
        <v>2081</v>
      </c>
      <c r="F7" s="18">
        <v>0.31887833282255595</v>
      </c>
      <c r="G7" s="16">
        <v>854</v>
      </c>
      <c r="H7" s="18">
        <v>0.13086117070180814</v>
      </c>
      <c r="I7" s="16">
        <v>264</v>
      </c>
      <c r="J7" s="18">
        <v>4.0453570334048422E-2</v>
      </c>
    </row>
    <row r="8" spans="1:10" x14ac:dyDescent="0.2">
      <c r="A8" s="19" t="s">
        <v>45</v>
      </c>
      <c r="B8" s="16">
        <v>9829</v>
      </c>
      <c r="C8" s="16">
        <v>4820</v>
      </c>
      <c r="D8" s="18">
        <v>0.49038559365143963</v>
      </c>
      <c r="E8" s="16">
        <v>3952</v>
      </c>
      <c r="F8" s="18">
        <v>0.4020754908942924</v>
      </c>
      <c r="G8" s="16">
        <v>960</v>
      </c>
      <c r="H8" s="18">
        <v>9.7670159731407066E-2</v>
      </c>
      <c r="I8" s="16">
        <v>97</v>
      </c>
      <c r="J8" s="18">
        <v>9.868755722860922E-3</v>
      </c>
    </row>
    <row r="9" spans="1:10" x14ac:dyDescent="0.2">
      <c r="A9" s="19" t="s">
        <v>46</v>
      </c>
      <c r="B9" s="16">
        <v>5427</v>
      </c>
      <c r="C9" s="16">
        <v>2767</v>
      </c>
      <c r="D9" s="18">
        <v>0.50985811682329096</v>
      </c>
      <c r="E9" s="16">
        <v>2228</v>
      </c>
      <c r="F9" s="18">
        <v>0.41053989312695782</v>
      </c>
      <c r="G9" s="16">
        <v>372</v>
      </c>
      <c r="H9" s="18">
        <v>6.8546158098396898E-2</v>
      </c>
      <c r="I9" s="16">
        <v>60</v>
      </c>
      <c r="J9" s="18">
        <v>1.1055831951354339E-2</v>
      </c>
    </row>
    <row r="10" spans="1:10" x14ac:dyDescent="0.2">
      <c r="A10" s="19" t="s">
        <v>15</v>
      </c>
      <c r="B10" s="16">
        <v>22698</v>
      </c>
      <c r="C10" s="16">
        <v>6707</v>
      </c>
      <c r="D10" s="18">
        <v>0.2954885893030223</v>
      </c>
      <c r="E10" s="16">
        <v>9327</v>
      </c>
      <c r="F10" s="18">
        <v>0.41091726143272533</v>
      </c>
      <c r="G10" s="16">
        <v>5067</v>
      </c>
      <c r="H10" s="18">
        <v>0.22323552735923871</v>
      </c>
      <c r="I10" s="16">
        <v>1597</v>
      </c>
      <c r="J10" s="18">
        <v>7.0358621905013657E-2</v>
      </c>
    </row>
    <row r="11" spans="1:10" x14ac:dyDescent="0.2">
      <c r="A11" s="19" t="s">
        <v>16</v>
      </c>
      <c r="B11" s="16">
        <v>9162</v>
      </c>
      <c r="C11" s="16">
        <v>2218</v>
      </c>
      <c r="D11" s="18">
        <v>0.24208688059375683</v>
      </c>
      <c r="E11" s="16">
        <v>4860</v>
      </c>
      <c r="F11" s="18">
        <v>0.53045186640471509</v>
      </c>
      <c r="G11" s="16">
        <v>1846</v>
      </c>
      <c r="H11" s="18">
        <v>0.20148439205413665</v>
      </c>
      <c r="I11" s="16">
        <v>238</v>
      </c>
      <c r="J11" s="18">
        <v>2.5976860947391399E-2</v>
      </c>
    </row>
    <row r="12" spans="1:10" x14ac:dyDescent="0.2">
      <c r="A12" s="19" t="s">
        <v>17</v>
      </c>
      <c r="B12" s="16">
        <v>44301</v>
      </c>
      <c r="C12" s="16">
        <v>13146</v>
      </c>
      <c r="D12" s="18">
        <v>0.2967427371842622</v>
      </c>
      <c r="E12" s="16">
        <v>18663</v>
      </c>
      <c r="F12" s="18">
        <v>0.42127717207286519</v>
      </c>
      <c r="G12" s="16">
        <v>9583</v>
      </c>
      <c r="H12" s="18">
        <v>0.21631565878874065</v>
      </c>
      <c r="I12" s="16">
        <v>2909</v>
      </c>
      <c r="J12" s="18">
        <v>6.5664431954131963E-2</v>
      </c>
    </row>
    <row r="13" spans="1:10" x14ac:dyDescent="0.2">
      <c r="A13" s="19" t="s">
        <v>18</v>
      </c>
      <c r="B13" s="16">
        <v>7942</v>
      </c>
      <c r="C13" s="16">
        <v>4517</v>
      </c>
      <c r="D13" s="18">
        <v>0.56874842608914633</v>
      </c>
      <c r="E13" s="16">
        <v>2954</v>
      </c>
      <c r="F13" s="18">
        <v>0.37194661294384285</v>
      </c>
      <c r="G13" s="16">
        <v>443</v>
      </c>
      <c r="H13" s="18">
        <v>5.5779400654746916E-2</v>
      </c>
      <c r="I13" s="16">
        <v>28</v>
      </c>
      <c r="J13" s="18">
        <v>3.5255603122639136E-3</v>
      </c>
    </row>
    <row r="14" spans="1:10" x14ac:dyDescent="0.2">
      <c r="A14" s="19" t="s">
        <v>19</v>
      </c>
      <c r="B14" s="16">
        <v>16565</v>
      </c>
      <c r="C14" s="16">
        <v>6118</v>
      </c>
      <c r="D14" s="18">
        <v>0.369332930878358</v>
      </c>
      <c r="E14" s="16">
        <v>7336</v>
      </c>
      <c r="F14" s="18">
        <v>0.44286145487473588</v>
      </c>
      <c r="G14" s="16">
        <v>2474</v>
      </c>
      <c r="H14" s="18">
        <v>0.14935104135224872</v>
      </c>
      <c r="I14" s="16">
        <v>637</v>
      </c>
      <c r="J14" s="18">
        <v>3.845457289465741E-2</v>
      </c>
    </row>
    <row r="15" spans="1:10" x14ac:dyDescent="0.2">
      <c r="A15" s="19" t="s">
        <v>20</v>
      </c>
      <c r="B15" s="16">
        <v>11226</v>
      </c>
      <c r="C15" s="16">
        <v>7174</v>
      </c>
      <c r="D15" s="18">
        <v>0.639052200249421</v>
      </c>
      <c r="E15" s="16">
        <v>3444</v>
      </c>
      <c r="F15" s="18">
        <v>0.30678781400320682</v>
      </c>
      <c r="G15" s="16">
        <v>554</v>
      </c>
      <c r="H15" s="18">
        <v>4.9349723855335828E-2</v>
      </c>
      <c r="I15" s="16">
        <v>54</v>
      </c>
      <c r="J15" s="18">
        <v>4.8102618920363438E-3</v>
      </c>
    </row>
    <row r="16" spans="1:10" x14ac:dyDescent="0.2">
      <c r="A16" s="19" t="s">
        <v>21</v>
      </c>
      <c r="B16" s="16">
        <v>13147</v>
      </c>
      <c r="C16" s="16">
        <v>2355</v>
      </c>
      <c r="D16" s="18">
        <v>0.17912831824750894</v>
      </c>
      <c r="E16" s="16">
        <v>4782</v>
      </c>
      <c r="F16" s="18">
        <v>0.36373317106564235</v>
      </c>
      <c r="G16" s="16">
        <v>4048</v>
      </c>
      <c r="H16" s="18">
        <v>0.30790294363733173</v>
      </c>
      <c r="I16" s="16">
        <v>1962</v>
      </c>
      <c r="J16" s="18">
        <v>0.14923556704951699</v>
      </c>
    </row>
    <row r="17" spans="1:10" x14ac:dyDescent="0.2">
      <c r="A17" s="19" t="s">
        <v>22</v>
      </c>
      <c r="B17" s="16">
        <v>16423</v>
      </c>
      <c r="C17" s="16">
        <v>3934</v>
      </c>
      <c r="D17" s="18">
        <v>0.2395421055836327</v>
      </c>
      <c r="E17" s="16">
        <v>8165</v>
      </c>
      <c r="F17" s="18">
        <v>0.49716860500517568</v>
      </c>
      <c r="G17" s="16">
        <v>3475</v>
      </c>
      <c r="H17" s="18">
        <v>0.21159349692504414</v>
      </c>
      <c r="I17" s="16">
        <v>849</v>
      </c>
      <c r="J17" s="18">
        <v>5.1695792486147474E-2</v>
      </c>
    </row>
    <row r="18" spans="1:10" x14ac:dyDescent="0.2">
      <c r="A18" s="19" t="s">
        <v>23</v>
      </c>
      <c r="B18" s="16">
        <v>269</v>
      </c>
      <c r="C18" s="16">
        <v>206</v>
      </c>
      <c r="D18" s="18">
        <v>0.76579925650557623</v>
      </c>
      <c r="E18" s="16">
        <v>53</v>
      </c>
      <c r="F18" s="18">
        <v>0.19702602230483271</v>
      </c>
      <c r="G18" s="16">
        <v>10</v>
      </c>
      <c r="H18" s="18">
        <v>3.717472118959108E-2</v>
      </c>
      <c r="I18" s="16">
        <v>0</v>
      </c>
      <c r="J18" s="18">
        <v>0</v>
      </c>
    </row>
    <row r="19" spans="1:10" x14ac:dyDescent="0.2">
      <c r="A19" s="19" t="s">
        <v>24</v>
      </c>
      <c r="B19" s="16">
        <v>9173</v>
      </c>
      <c r="C19" s="16">
        <v>2271</v>
      </c>
      <c r="D19" s="18">
        <v>0.24757440313964896</v>
      </c>
      <c r="E19" s="16">
        <v>4140</v>
      </c>
      <c r="F19" s="18">
        <v>0.45132453940913553</v>
      </c>
      <c r="G19" s="16">
        <v>2258</v>
      </c>
      <c r="H19" s="18">
        <v>0.2461572004796686</v>
      </c>
      <c r="I19" s="16">
        <v>504</v>
      </c>
      <c r="J19" s="18">
        <v>5.4943856971546932E-2</v>
      </c>
    </row>
    <row r="20" spans="1:10" x14ac:dyDescent="0.2">
      <c r="A20" s="19" t="s">
        <v>47</v>
      </c>
      <c r="B20" s="16">
        <v>6687</v>
      </c>
      <c r="C20" s="16">
        <v>3808</v>
      </c>
      <c r="D20" s="18">
        <v>0.56946313743083599</v>
      </c>
      <c r="E20" s="16">
        <v>2411</v>
      </c>
      <c r="F20" s="18">
        <v>0.36055032151936595</v>
      </c>
      <c r="G20" s="16">
        <v>382</v>
      </c>
      <c r="H20" s="18">
        <v>5.7125766412442054E-2</v>
      </c>
      <c r="I20" s="16">
        <v>86</v>
      </c>
      <c r="J20" s="18">
        <v>1.2860774637356064E-2</v>
      </c>
    </row>
    <row r="21" spans="1:10" x14ac:dyDescent="0.2">
      <c r="A21" s="19" t="s">
        <v>48</v>
      </c>
      <c r="B21" s="16">
        <v>5086</v>
      </c>
      <c r="C21" s="16">
        <v>2814</v>
      </c>
      <c r="D21" s="18">
        <v>0.55328352339756193</v>
      </c>
      <c r="E21" s="16">
        <v>1803</v>
      </c>
      <c r="F21" s="18">
        <v>0.35450255603617775</v>
      </c>
      <c r="G21" s="16">
        <v>416</v>
      </c>
      <c r="H21" s="18">
        <v>8.1793157687770346E-2</v>
      </c>
      <c r="I21" s="16">
        <v>53</v>
      </c>
      <c r="J21" s="18">
        <v>1.0420762878489972E-2</v>
      </c>
    </row>
    <row r="22" spans="1:10" x14ac:dyDescent="0.2">
      <c r="A22" s="19" t="s">
        <v>27</v>
      </c>
      <c r="B22" s="16">
        <v>11482</v>
      </c>
      <c r="C22" s="16">
        <v>1423</v>
      </c>
      <c r="D22" s="18">
        <v>0.12393311269813621</v>
      </c>
      <c r="E22" s="16">
        <v>5457</v>
      </c>
      <c r="F22" s="18">
        <v>0.47526563316495385</v>
      </c>
      <c r="G22" s="16">
        <v>3628</v>
      </c>
      <c r="H22" s="18">
        <v>0.31597282703361784</v>
      </c>
      <c r="I22" s="16">
        <v>974</v>
      </c>
      <c r="J22" s="18">
        <v>8.4828427103292109E-2</v>
      </c>
    </row>
    <row r="23" spans="1:10" x14ac:dyDescent="0.2">
      <c r="A23" s="19" t="s">
        <v>28</v>
      </c>
      <c r="B23" s="16">
        <v>19899</v>
      </c>
      <c r="C23" s="16">
        <v>9019</v>
      </c>
      <c r="D23" s="18">
        <v>0.45323885622393084</v>
      </c>
      <c r="E23" s="16">
        <v>7498</v>
      </c>
      <c r="F23" s="18">
        <v>0.37680285441479472</v>
      </c>
      <c r="G23" s="16">
        <v>2552</v>
      </c>
      <c r="H23" s="18">
        <v>0.12824765063571034</v>
      </c>
      <c r="I23" s="16">
        <v>830</v>
      </c>
      <c r="J23" s="18">
        <v>4.1710638725564096E-2</v>
      </c>
    </row>
    <row r="24" spans="1:10" x14ac:dyDescent="0.2">
      <c r="A24" s="19" t="s">
        <v>29</v>
      </c>
      <c r="B24" s="16">
        <v>16730</v>
      </c>
      <c r="C24" s="16">
        <v>4596</v>
      </c>
      <c r="D24" s="18">
        <v>0.27471607890017929</v>
      </c>
      <c r="E24" s="16">
        <v>7880</v>
      </c>
      <c r="F24" s="18">
        <v>0.47101016138673041</v>
      </c>
      <c r="G24" s="16">
        <v>3568</v>
      </c>
      <c r="H24" s="18">
        <v>0.21326957561267185</v>
      </c>
      <c r="I24" s="16">
        <v>686</v>
      </c>
      <c r="J24" s="18">
        <v>4.1004184100418409E-2</v>
      </c>
    </row>
    <row r="25" spans="1:10" x14ac:dyDescent="0.2">
      <c r="A25" s="19" t="s">
        <v>30</v>
      </c>
      <c r="B25" s="16">
        <v>2628</v>
      </c>
      <c r="C25" s="16">
        <v>679</v>
      </c>
      <c r="D25" s="18">
        <v>0.25837138508371388</v>
      </c>
      <c r="E25" s="16">
        <v>1594</v>
      </c>
      <c r="F25" s="18">
        <v>0.606544901065449</v>
      </c>
      <c r="G25" s="16">
        <v>348</v>
      </c>
      <c r="H25" s="18">
        <v>0.13242009132420091</v>
      </c>
      <c r="I25" s="16">
        <v>7</v>
      </c>
      <c r="J25" s="18">
        <v>2.6636225266362251E-3</v>
      </c>
    </row>
    <row r="26" spans="1:10" x14ac:dyDescent="0.2">
      <c r="A26" s="19" t="s">
        <v>49</v>
      </c>
      <c r="B26" s="16">
        <v>16819</v>
      </c>
      <c r="C26" s="16">
        <v>6686</v>
      </c>
      <c r="D26" s="18">
        <v>0.39752660681372259</v>
      </c>
      <c r="E26" s="16">
        <v>7866</v>
      </c>
      <c r="F26" s="18">
        <v>0.46768535584755339</v>
      </c>
      <c r="G26" s="16">
        <v>1939</v>
      </c>
      <c r="H26" s="18">
        <v>0.11528628336999822</v>
      </c>
      <c r="I26" s="16">
        <v>328</v>
      </c>
      <c r="J26" s="18">
        <v>1.9501753968725846E-2</v>
      </c>
    </row>
    <row r="27" spans="1:10" x14ac:dyDescent="0.2">
      <c r="A27" s="19" t="s">
        <v>50</v>
      </c>
      <c r="B27" s="16">
        <v>3558</v>
      </c>
      <c r="C27" s="16">
        <v>2048</v>
      </c>
      <c r="D27" s="18">
        <v>0.57560427206295672</v>
      </c>
      <c r="E27" s="16">
        <v>1315</v>
      </c>
      <c r="F27" s="18">
        <v>0.36958965711073638</v>
      </c>
      <c r="G27" s="16">
        <v>185</v>
      </c>
      <c r="H27" s="18">
        <v>5.1995503091624505E-2</v>
      </c>
      <c r="I27" s="16">
        <v>10</v>
      </c>
      <c r="J27" s="18">
        <v>2.810567734682406E-3</v>
      </c>
    </row>
    <row r="28" spans="1:10" x14ac:dyDescent="0.2">
      <c r="A28" s="19" t="s">
        <v>33</v>
      </c>
      <c r="B28" s="16">
        <v>13933</v>
      </c>
      <c r="C28" s="16">
        <v>1602</v>
      </c>
      <c r="D28" s="18">
        <v>0.11497882724467093</v>
      </c>
      <c r="E28" s="16">
        <v>6127</v>
      </c>
      <c r="F28" s="18">
        <v>0.43974736237709033</v>
      </c>
      <c r="G28" s="16">
        <v>4841</v>
      </c>
      <c r="H28" s="18">
        <v>0.34744850355271656</v>
      </c>
      <c r="I28" s="16">
        <v>1363</v>
      </c>
      <c r="J28" s="18">
        <v>9.7825306825522138E-2</v>
      </c>
    </row>
    <row r="30" spans="1:10" x14ac:dyDescent="0.2">
      <c r="A30" t="s">
        <v>34</v>
      </c>
    </row>
    <row r="31" spans="1:10" x14ac:dyDescent="0.2">
      <c r="A31" t="s">
        <v>252</v>
      </c>
    </row>
    <row r="32" spans="1:10" x14ac:dyDescent="0.2">
      <c r="A32" t="s">
        <v>253</v>
      </c>
    </row>
    <row r="33" spans="1:1" x14ac:dyDescent="0.2">
      <c r="A33" t="s">
        <v>53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A9D08E"/>
  </sheetPr>
  <dimension ref="A1:F34"/>
  <sheetViews>
    <sheetView topLeftCell="A3" workbookViewId="0">
      <pane xSplit="1" topLeftCell="C1" activePane="topRight" state="frozen"/>
      <selection pane="topRight" activeCell="L17" sqref="L17"/>
    </sheetView>
  </sheetViews>
  <sheetFormatPr baseColWidth="10" defaultColWidth="8.83203125" defaultRowHeight="15" x14ac:dyDescent="0.2"/>
  <cols>
    <col min="1" max="1" width="27.1640625" customWidth="1"/>
    <col min="2" max="2" width="23.1640625" hidden="1" customWidth="1"/>
    <col min="3" max="3" width="10.1640625" bestFit="1" customWidth="1"/>
    <col min="4" max="4" width="11.5" bestFit="1" customWidth="1"/>
    <col min="5" max="5" width="15.33203125" customWidth="1"/>
  </cols>
  <sheetData>
    <row r="1" spans="1:6" ht="21" x14ac:dyDescent="0.25">
      <c r="A1" s="11" t="s">
        <v>254</v>
      </c>
    </row>
    <row r="3" spans="1:6" ht="48" x14ac:dyDescent="0.2">
      <c r="A3" s="120"/>
      <c r="B3" s="120" t="s">
        <v>255</v>
      </c>
      <c r="C3" s="120" t="s">
        <v>256</v>
      </c>
      <c r="D3" s="120" t="s">
        <v>257</v>
      </c>
      <c r="E3" s="120" t="s">
        <v>258</v>
      </c>
      <c r="F3" s="50"/>
    </row>
    <row r="4" spans="1:6" x14ac:dyDescent="0.2">
      <c r="A4" s="25" t="s">
        <v>44</v>
      </c>
      <c r="B4" s="16">
        <v>316715051</v>
      </c>
      <c r="C4" s="16">
        <v>42510843</v>
      </c>
      <c r="D4" s="18">
        <v>0.1342242588906834</v>
      </c>
      <c r="E4" s="53">
        <v>0</v>
      </c>
      <c r="F4" s="50"/>
    </row>
    <row r="5" spans="1:6" x14ac:dyDescent="0.2">
      <c r="A5" s="25" t="s">
        <v>10</v>
      </c>
      <c r="B5" s="16">
        <v>6615375</v>
      </c>
      <c r="C5" s="16">
        <v>680962</v>
      </c>
      <c r="D5" s="18">
        <v>0.10293626589573532</v>
      </c>
      <c r="E5" s="53">
        <v>0</v>
      </c>
      <c r="F5" s="50"/>
    </row>
    <row r="6" spans="1:6" x14ac:dyDescent="0.2">
      <c r="A6" s="25" t="s">
        <v>11</v>
      </c>
      <c r="B6" s="16">
        <v>641654</v>
      </c>
      <c r="C6" s="16">
        <v>121364</v>
      </c>
      <c r="D6" s="18">
        <v>0.18914243501949649</v>
      </c>
      <c r="E6" s="53">
        <v>0</v>
      </c>
      <c r="F6" s="50"/>
    </row>
    <row r="7" spans="1:6" x14ac:dyDescent="0.2">
      <c r="A7" s="19" t="s">
        <v>12</v>
      </c>
      <c r="B7" s="16">
        <v>14019</v>
      </c>
      <c r="C7" s="16">
        <v>3915</v>
      </c>
      <c r="D7" s="18">
        <v>0.2792638561951637</v>
      </c>
      <c r="E7" s="18">
        <v>3.2258330312118916E-2</v>
      </c>
    </row>
    <row r="8" spans="1:6" x14ac:dyDescent="0.2">
      <c r="A8" s="19" t="s">
        <v>45</v>
      </c>
      <c r="B8" s="16">
        <v>16263</v>
      </c>
      <c r="C8" s="16">
        <v>1941</v>
      </c>
      <c r="D8" s="18">
        <v>0.11935067330750784</v>
      </c>
      <c r="E8" s="18">
        <v>1.5993210507234436E-2</v>
      </c>
    </row>
    <row r="9" spans="1:6" x14ac:dyDescent="0.2">
      <c r="A9" s="19" t="s">
        <v>46</v>
      </c>
      <c r="B9" s="16">
        <v>9635</v>
      </c>
      <c r="C9" s="16">
        <v>614</v>
      </c>
      <c r="D9" s="18">
        <v>6.3725998962117281E-2</v>
      </c>
      <c r="E9" s="18">
        <v>5.0591608714281007E-3</v>
      </c>
    </row>
    <row r="10" spans="1:6" x14ac:dyDescent="0.2">
      <c r="A10" s="19" t="s">
        <v>15</v>
      </c>
      <c r="B10" s="16">
        <v>52145</v>
      </c>
      <c r="C10" s="16">
        <v>8972</v>
      </c>
      <c r="D10" s="18">
        <v>0.17205868251989645</v>
      </c>
      <c r="E10" s="18">
        <v>7.3926370258066643E-2</v>
      </c>
    </row>
    <row r="11" spans="1:6" x14ac:dyDescent="0.2">
      <c r="A11" s="19" t="s">
        <v>16</v>
      </c>
      <c r="B11" s="16">
        <v>19800</v>
      </c>
      <c r="C11" s="16">
        <v>2859</v>
      </c>
      <c r="D11" s="18">
        <v>0.14439393939393941</v>
      </c>
      <c r="E11" s="18">
        <v>2.355723278731749E-2</v>
      </c>
    </row>
    <row r="12" spans="1:6" x14ac:dyDescent="0.2">
      <c r="A12" s="19" t="s">
        <v>17</v>
      </c>
      <c r="B12" s="16">
        <v>126173</v>
      </c>
      <c r="C12" s="16">
        <v>28033</v>
      </c>
      <c r="D12" s="18">
        <v>0.22217907159217901</v>
      </c>
      <c r="E12" s="18">
        <v>0.23098282851586963</v>
      </c>
    </row>
    <row r="13" spans="1:6" x14ac:dyDescent="0.2">
      <c r="A13" s="19" t="s">
        <v>18</v>
      </c>
      <c r="B13" s="16">
        <v>15103</v>
      </c>
      <c r="C13" s="16">
        <v>3191</v>
      </c>
      <c r="D13" s="18">
        <v>0.21128252665033437</v>
      </c>
      <c r="E13" s="18">
        <v>2.6292805115190665E-2</v>
      </c>
    </row>
    <row r="14" spans="1:6" x14ac:dyDescent="0.2">
      <c r="A14" s="19" t="s">
        <v>19</v>
      </c>
      <c r="B14" s="16">
        <v>47038</v>
      </c>
      <c r="C14" s="16">
        <v>7548</v>
      </c>
      <c r="D14" s="18">
        <v>0.16046600620774693</v>
      </c>
      <c r="E14" s="18">
        <v>6.2193072080682907E-2</v>
      </c>
    </row>
    <row r="15" spans="1:6" x14ac:dyDescent="0.2">
      <c r="A15" s="19" t="s">
        <v>20</v>
      </c>
      <c r="B15" s="16">
        <v>19372</v>
      </c>
      <c r="C15" s="16">
        <v>7594</v>
      </c>
      <c r="D15" s="18">
        <v>0.39200908527772044</v>
      </c>
      <c r="E15" s="18">
        <v>6.2572097162255688E-2</v>
      </c>
    </row>
    <row r="16" spans="1:6" x14ac:dyDescent="0.2">
      <c r="A16" s="19" t="s">
        <v>21</v>
      </c>
      <c r="B16" s="16">
        <v>38493</v>
      </c>
      <c r="C16" s="16">
        <v>5743</v>
      </c>
      <c r="D16" s="18">
        <v>0.14919595770659599</v>
      </c>
      <c r="E16" s="18">
        <v>4.7320457466794107E-2</v>
      </c>
    </row>
    <row r="17" spans="1:5" x14ac:dyDescent="0.2">
      <c r="A17" s="19" t="s">
        <v>22</v>
      </c>
      <c r="B17" s="16">
        <v>39985</v>
      </c>
      <c r="C17" s="16">
        <v>5119</v>
      </c>
      <c r="D17" s="18">
        <v>0.1280230086282356</v>
      </c>
      <c r="E17" s="18">
        <v>4.2178899838502357E-2</v>
      </c>
    </row>
    <row r="18" spans="1:5" x14ac:dyDescent="0.2">
      <c r="A18" s="19" t="s">
        <v>23</v>
      </c>
      <c r="B18" s="16">
        <v>390</v>
      </c>
      <c r="C18" s="16">
        <v>116</v>
      </c>
      <c r="D18" s="18">
        <v>0.29743589743589743</v>
      </c>
      <c r="E18" s="18">
        <v>9.5580237961833824E-4</v>
      </c>
    </row>
    <row r="19" spans="1:5" x14ac:dyDescent="0.2">
      <c r="A19" s="19" t="s">
        <v>24</v>
      </c>
      <c r="B19" s="16">
        <v>26278</v>
      </c>
      <c r="C19" s="16">
        <v>5283</v>
      </c>
      <c r="D19" s="18">
        <v>0.20104269731334196</v>
      </c>
      <c r="E19" s="18">
        <v>4.3530206651066217E-2</v>
      </c>
    </row>
    <row r="20" spans="1:5" x14ac:dyDescent="0.2">
      <c r="A20" s="19" t="s">
        <v>47</v>
      </c>
      <c r="B20" s="16">
        <v>15244</v>
      </c>
      <c r="C20" s="16">
        <v>5647</v>
      </c>
      <c r="D20" s="18">
        <v>0.37044082917869325</v>
      </c>
      <c r="E20" s="18">
        <v>4.6529448600903071E-2</v>
      </c>
    </row>
    <row r="21" spans="1:5" x14ac:dyDescent="0.2">
      <c r="A21" s="19" t="s">
        <v>48</v>
      </c>
      <c r="B21" s="16">
        <v>8696</v>
      </c>
      <c r="C21" s="16">
        <v>699</v>
      </c>
      <c r="D21" s="18">
        <v>8.038178472861085E-2</v>
      </c>
      <c r="E21" s="18">
        <v>5.7595333047691247E-3</v>
      </c>
    </row>
    <row r="22" spans="1:5" x14ac:dyDescent="0.2">
      <c r="A22" s="19" t="s">
        <v>27</v>
      </c>
      <c r="B22" s="16">
        <v>29643</v>
      </c>
      <c r="C22" s="16">
        <v>2891</v>
      </c>
      <c r="D22" s="18">
        <v>9.7527240832574302E-2</v>
      </c>
      <c r="E22" s="18">
        <v>2.3820902409281169E-2</v>
      </c>
    </row>
    <row r="23" spans="1:5" x14ac:dyDescent="0.2">
      <c r="A23" s="19" t="s">
        <v>28</v>
      </c>
      <c r="B23" s="16">
        <v>50825</v>
      </c>
      <c r="C23" s="16">
        <v>16105</v>
      </c>
      <c r="D23" s="18">
        <v>0.31687161829808164</v>
      </c>
      <c r="E23" s="18">
        <v>0.13269997692890809</v>
      </c>
    </row>
    <row r="24" spans="1:5" x14ac:dyDescent="0.2">
      <c r="A24" s="19" t="s">
        <v>29</v>
      </c>
      <c r="B24" s="16">
        <v>36595</v>
      </c>
      <c r="C24" s="16">
        <v>5154</v>
      </c>
      <c r="D24" s="18">
        <v>0.14083891241972948</v>
      </c>
      <c r="E24" s="18">
        <v>4.246728848752513E-2</v>
      </c>
    </row>
    <row r="25" spans="1:5" x14ac:dyDescent="0.2">
      <c r="A25" s="19" t="s">
        <v>30</v>
      </c>
      <c r="B25" s="16">
        <v>4190</v>
      </c>
      <c r="C25" s="16">
        <v>248</v>
      </c>
      <c r="D25" s="18">
        <v>5.9188544152744632E-2</v>
      </c>
      <c r="E25" s="18">
        <v>2.0434395702185163E-3</v>
      </c>
    </row>
    <row r="26" spans="1:5" x14ac:dyDescent="0.2">
      <c r="A26" s="19" t="s">
        <v>49</v>
      </c>
      <c r="B26" s="16">
        <v>32288</v>
      </c>
      <c r="C26" s="16">
        <v>6429</v>
      </c>
      <c r="D26" s="18">
        <v>0.19911422200198217</v>
      </c>
      <c r="E26" s="18">
        <v>5.2972874987640486E-2</v>
      </c>
    </row>
    <row r="27" spans="1:5" x14ac:dyDescent="0.2">
      <c r="A27" s="19" t="s">
        <v>50</v>
      </c>
      <c r="B27" s="16">
        <v>5909</v>
      </c>
      <c r="C27" s="16">
        <v>830</v>
      </c>
      <c r="D27" s="18">
        <v>0.14046369944152987</v>
      </c>
      <c r="E27" s="18">
        <v>6.838930819682937E-3</v>
      </c>
    </row>
    <row r="28" spans="1:5" x14ac:dyDescent="0.2">
      <c r="A28" s="19" t="s">
        <v>33</v>
      </c>
      <c r="B28" s="16">
        <v>33052</v>
      </c>
      <c r="C28" s="16">
        <v>2087</v>
      </c>
      <c r="D28" s="18">
        <v>6.3142926297954732E-2</v>
      </c>
      <c r="E28" s="18">
        <v>1.7196203157443721E-2</v>
      </c>
    </row>
    <row r="29" spans="1:5" x14ac:dyDescent="0.2">
      <c r="E29" s="26"/>
    </row>
    <row r="30" spans="1:5" x14ac:dyDescent="0.2">
      <c r="A30" t="s">
        <v>34</v>
      </c>
    </row>
    <row r="31" spans="1:5" x14ac:dyDescent="0.2">
      <c r="A31" s="22" t="s">
        <v>259</v>
      </c>
    </row>
    <row r="32" spans="1:5" x14ac:dyDescent="0.2">
      <c r="A32" s="22" t="s">
        <v>260</v>
      </c>
    </row>
    <row r="33" spans="1:1" x14ac:dyDescent="0.2">
      <c r="A33" s="22" t="s">
        <v>261</v>
      </c>
    </row>
    <row r="34" spans="1:1" x14ac:dyDescent="0.2">
      <c r="A34" s="2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A9D08E"/>
  </sheetPr>
  <dimension ref="A1:V34"/>
  <sheetViews>
    <sheetView topLeftCell="A19" workbookViewId="0">
      <pane xSplit="1" topLeftCell="D1" activePane="topRight" state="frozen"/>
      <selection activeCell="A4" sqref="A4"/>
      <selection pane="topRight" activeCell="A3" sqref="A3:T29"/>
    </sheetView>
  </sheetViews>
  <sheetFormatPr baseColWidth="10" defaultColWidth="8.83203125" defaultRowHeight="15" x14ac:dyDescent="0.2"/>
  <cols>
    <col min="1" max="1" width="43.5" customWidth="1"/>
    <col min="2" max="2" width="17.5" hidden="1" customWidth="1"/>
    <col min="3" max="3" width="10.33203125" hidden="1" customWidth="1"/>
    <col min="4" max="4" width="12.6640625" bestFit="1" customWidth="1"/>
    <col min="5" max="5" width="12.33203125" bestFit="1" customWidth="1"/>
    <col min="6" max="6" width="12.33203125" hidden="1" customWidth="1"/>
    <col min="7" max="7" width="13.5" bestFit="1" customWidth="1"/>
    <col min="8" max="8" width="12.33203125" customWidth="1"/>
    <col min="9" max="9" width="11.1640625" hidden="1" customWidth="1"/>
    <col min="10" max="10" width="12.6640625" bestFit="1" customWidth="1"/>
    <col min="11" max="11" width="12.33203125" bestFit="1" customWidth="1"/>
    <col min="12" max="12" width="12.33203125" hidden="1" customWidth="1"/>
    <col min="13" max="13" width="13.5" bestFit="1" customWidth="1"/>
    <col min="14" max="14" width="12.33203125" customWidth="1"/>
    <col min="15" max="15" width="12.33203125" hidden="1" customWidth="1"/>
    <col min="16" max="17" width="12.33203125" customWidth="1"/>
    <col min="18" max="18" width="10.33203125" hidden="1" customWidth="1"/>
    <col min="19" max="19" width="12.6640625" bestFit="1" customWidth="1"/>
    <col min="20" max="20" width="12.33203125" bestFit="1" customWidth="1"/>
    <col min="21" max="21" width="10.1640625" bestFit="1" customWidth="1"/>
  </cols>
  <sheetData>
    <row r="1" spans="1:22" ht="21" x14ac:dyDescent="0.25">
      <c r="A1" s="11" t="s">
        <v>262</v>
      </c>
    </row>
    <row r="2" spans="1:22" x14ac:dyDescent="0.2">
      <c r="A2" s="51"/>
      <c r="U2" s="36"/>
    </row>
    <row r="3" spans="1:22" ht="34.5" customHeight="1" x14ac:dyDescent="0.2">
      <c r="A3" s="52"/>
      <c r="B3" s="131" t="s">
        <v>263</v>
      </c>
      <c r="C3" s="140" t="s">
        <v>264</v>
      </c>
      <c r="D3" s="142"/>
      <c r="E3" s="141"/>
      <c r="F3" s="140" t="s">
        <v>265</v>
      </c>
      <c r="G3" s="142"/>
      <c r="H3" s="141"/>
      <c r="I3" s="140" t="s">
        <v>266</v>
      </c>
      <c r="J3" s="142"/>
      <c r="K3" s="141"/>
      <c r="L3" s="140" t="s">
        <v>267</v>
      </c>
      <c r="M3" s="142"/>
      <c r="N3" s="141"/>
      <c r="O3" s="140" t="s">
        <v>268</v>
      </c>
      <c r="P3" s="142"/>
      <c r="Q3" s="141"/>
      <c r="R3" s="140" t="s">
        <v>269</v>
      </c>
      <c r="S3" s="142"/>
      <c r="T3" s="141"/>
    </row>
    <row r="4" spans="1:22" ht="26.25" customHeight="1" x14ac:dyDescent="0.2">
      <c r="A4" s="112"/>
      <c r="B4" s="132"/>
      <c r="C4" s="88" t="s">
        <v>38</v>
      </c>
      <c r="D4" s="88" t="s">
        <v>270</v>
      </c>
      <c r="E4" s="88" t="s">
        <v>271</v>
      </c>
      <c r="F4" s="88" t="s">
        <v>38</v>
      </c>
      <c r="G4" s="88" t="s">
        <v>270</v>
      </c>
      <c r="H4" s="88" t="s">
        <v>271</v>
      </c>
      <c r="I4" s="88" t="s">
        <v>38</v>
      </c>
      <c r="J4" s="88" t="s">
        <v>270</v>
      </c>
      <c r="K4" s="88" t="s">
        <v>271</v>
      </c>
      <c r="L4" s="88" t="s">
        <v>38</v>
      </c>
      <c r="M4" s="88" t="s">
        <v>270</v>
      </c>
      <c r="N4" s="88" t="s">
        <v>271</v>
      </c>
      <c r="O4" s="88" t="s">
        <v>38</v>
      </c>
      <c r="P4" s="88" t="s">
        <v>270</v>
      </c>
      <c r="Q4" s="88" t="s">
        <v>271</v>
      </c>
      <c r="R4" s="88" t="s">
        <v>38</v>
      </c>
      <c r="S4" s="88" t="s">
        <v>270</v>
      </c>
      <c r="T4" s="88" t="s">
        <v>271</v>
      </c>
      <c r="V4" t="s">
        <v>272</v>
      </c>
    </row>
    <row r="5" spans="1:22" x14ac:dyDescent="0.2">
      <c r="A5" s="25" t="s">
        <v>9</v>
      </c>
      <c r="B5" s="16">
        <v>316715051</v>
      </c>
      <c r="C5" s="16">
        <v>19430702</v>
      </c>
      <c r="D5" s="16">
        <v>3948405</v>
      </c>
      <c r="E5" s="18">
        <v>0.20320444418323125</v>
      </c>
      <c r="F5" s="81">
        <v>52804998</v>
      </c>
      <c r="G5" s="81">
        <v>9429373</v>
      </c>
      <c r="H5" s="18">
        <v>0.17856970660239396</v>
      </c>
      <c r="I5" s="16">
        <v>27425370</v>
      </c>
      <c r="J5" s="16">
        <v>5859900</v>
      </c>
      <c r="K5" s="18">
        <v>0.21366712645991651</v>
      </c>
      <c r="L5" s="81">
        <v>44175865</v>
      </c>
      <c r="M5" s="81">
        <v>5778298</v>
      </c>
      <c r="N5" s="18">
        <v>0.13080214728110021</v>
      </c>
      <c r="O5" s="81">
        <v>123389317</v>
      </c>
      <c r="P5" s="81">
        <v>12907435</v>
      </c>
      <c r="Q5" s="18">
        <v>0.10460739482008803</v>
      </c>
      <c r="R5" s="16">
        <v>49488799</v>
      </c>
      <c r="S5" s="16">
        <v>4587432</v>
      </c>
      <c r="T5" s="18">
        <v>9.269636953606411E-2</v>
      </c>
      <c r="U5" s="36"/>
      <c r="V5" s="24">
        <f>R5+O5+L5+I5+F5+C5-B5</f>
        <v>0</v>
      </c>
    </row>
    <row r="6" spans="1:22" x14ac:dyDescent="0.2">
      <c r="A6" s="25" t="s">
        <v>10</v>
      </c>
      <c r="B6" s="16">
        <v>6615375</v>
      </c>
      <c r="C6" s="16">
        <v>354939</v>
      </c>
      <c r="D6" s="16">
        <v>51135</v>
      </c>
      <c r="E6" s="18">
        <v>0.1440670086972691</v>
      </c>
      <c r="F6" s="81">
        <v>995679</v>
      </c>
      <c r="G6" s="81">
        <v>126495</v>
      </c>
      <c r="H6" s="18">
        <v>0.1270439569379288</v>
      </c>
      <c r="I6" s="16">
        <v>550239</v>
      </c>
      <c r="J6" s="16">
        <v>95933</v>
      </c>
      <c r="K6" s="18">
        <v>0.17434787428735513</v>
      </c>
      <c r="L6" s="81">
        <v>960584</v>
      </c>
      <c r="M6" s="81">
        <v>97646</v>
      </c>
      <c r="N6" s="18">
        <v>0.10165274458038027</v>
      </c>
      <c r="O6" s="81">
        <v>2682964</v>
      </c>
      <c r="P6" s="81">
        <v>213672</v>
      </c>
      <c r="Q6" s="18">
        <v>7.9640278438324177E-2</v>
      </c>
      <c r="R6" s="16">
        <v>1070970</v>
      </c>
      <c r="S6" s="16">
        <v>96081</v>
      </c>
      <c r="T6" s="18">
        <v>8.971399759096893E-2</v>
      </c>
      <c r="V6" s="24">
        <f>R6+O6+L6+I6+F6+C6-B6</f>
        <v>0</v>
      </c>
    </row>
    <row r="7" spans="1:22" x14ac:dyDescent="0.2">
      <c r="A7" s="25" t="s">
        <v>11</v>
      </c>
      <c r="B7" s="16">
        <v>641654</v>
      </c>
      <c r="C7" s="16">
        <v>33805</v>
      </c>
      <c r="D7" s="16">
        <v>7927</v>
      </c>
      <c r="E7" s="18">
        <v>0.23449193906226889</v>
      </c>
      <c r="F7" s="81">
        <v>73488</v>
      </c>
      <c r="G7" s="81">
        <v>21756</v>
      </c>
      <c r="H7" s="18">
        <v>0.29604833442194645</v>
      </c>
      <c r="I7" s="16">
        <v>66817</v>
      </c>
      <c r="J7" s="16">
        <v>24228</v>
      </c>
      <c r="K7" s="18">
        <v>0.36260233174192197</v>
      </c>
      <c r="L7" s="81">
        <v>164473</v>
      </c>
      <c r="M7" s="81">
        <v>20123</v>
      </c>
      <c r="N7" s="18">
        <v>0.12234834896913171</v>
      </c>
      <c r="O7" s="81">
        <v>226521</v>
      </c>
      <c r="P7" s="81">
        <v>31365</v>
      </c>
      <c r="Q7" s="18">
        <v>0.13846398347173111</v>
      </c>
      <c r="R7" s="16">
        <v>76550</v>
      </c>
      <c r="S7" s="16">
        <v>15965</v>
      </c>
      <c r="T7" s="18">
        <v>0.2085564990202482</v>
      </c>
      <c r="V7" s="24">
        <f>R7+O7+L7+I7+F7+C7-B7</f>
        <v>0</v>
      </c>
    </row>
    <row r="8" spans="1:22" x14ac:dyDescent="0.2">
      <c r="A8" s="19" t="s">
        <v>12</v>
      </c>
      <c r="B8" s="16">
        <v>14019</v>
      </c>
      <c r="C8" s="16">
        <v>137</v>
      </c>
      <c r="D8" s="16">
        <v>79</v>
      </c>
      <c r="E8" s="18">
        <v>0.57664233576642332</v>
      </c>
      <c r="F8" s="81">
        <v>576</v>
      </c>
      <c r="G8" s="81">
        <v>14</v>
      </c>
      <c r="H8" s="18">
        <v>2.4305555555555556E-2</v>
      </c>
      <c r="I8" s="16">
        <v>3765</v>
      </c>
      <c r="J8" s="16">
        <v>2155</v>
      </c>
      <c r="K8" s="18">
        <v>0.5723771580345286</v>
      </c>
      <c r="L8" s="81">
        <v>6503</v>
      </c>
      <c r="M8" s="81">
        <v>1361</v>
      </c>
      <c r="N8" s="18">
        <v>0.20928802091342458</v>
      </c>
      <c r="O8" s="81">
        <v>2536</v>
      </c>
      <c r="P8" s="81">
        <v>172</v>
      </c>
      <c r="Q8" s="18">
        <v>6.7823343848580436E-2</v>
      </c>
      <c r="R8" s="16">
        <v>502</v>
      </c>
      <c r="S8" s="16">
        <v>134</v>
      </c>
      <c r="T8" s="18">
        <v>0.26693227091633465</v>
      </c>
      <c r="V8" s="24">
        <f t="shared" ref="V8:V29" si="0">R8+O8+L8+I8+F8+C8-B8</f>
        <v>0</v>
      </c>
    </row>
    <row r="9" spans="1:22" x14ac:dyDescent="0.2">
      <c r="A9" s="19" t="s">
        <v>45</v>
      </c>
      <c r="B9" s="16">
        <v>16263</v>
      </c>
      <c r="C9" s="16">
        <v>433</v>
      </c>
      <c r="D9" s="16">
        <v>0</v>
      </c>
      <c r="E9" s="18">
        <v>0</v>
      </c>
      <c r="F9" s="81">
        <v>732</v>
      </c>
      <c r="G9" s="81">
        <v>16</v>
      </c>
      <c r="H9" s="18">
        <v>2.185792349726776E-2</v>
      </c>
      <c r="I9" s="16">
        <v>1393</v>
      </c>
      <c r="J9" s="16">
        <v>790</v>
      </c>
      <c r="K9" s="18">
        <v>0.56712132089016509</v>
      </c>
      <c r="L9" s="81">
        <v>5540</v>
      </c>
      <c r="M9" s="81">
        <v>540</v>
      </c>
      <c r="N9" s="18">
        <v>9.7472924187725629E-2</v>
      </c>
      <c r="O9" s="81">
        <v>5665</v>
      </c>
      <c r="P9" s="81">
        <v>308</v>
      </c>
      <c r="Q9" s="18">
        <v>5.4368932038834951E-2</v>
      </c>
      <c r="R9" s="16">
        <v>2500</v>
      </c>
      <c r="S9" s="16">
        <v>287</v>
      </c>
      <c r="T9" s="18">
        <v>0.1148</v>
      </c>
      <c r="V9" s="24">
        <f t="shared" si="0"/>
        <v>0</v>
      </c>
    </row>
    <row r="10" spans="1:22" x14ac:dyDescent="0.2">
      <c r="A10" s="19" t="s">
        <v>46</v>
      </c>
      <c r="B10" s="16">
        <v>9635</v>
      </c>
      <c r="C10" s="16">
        <v>437</v>
      </c>
      <c r="D10" s="16">
        <v>0</v>
      </c>
      <c r="E10" s="18">
        <v>0</v>
      </c>
      <c r="F10" s="81">
        <v>412</v>
      </c>
      <c r="G10" s="81">
        <v>0</v>
      </c>
      <c r="H10" s="18">
        <v>0</v>
      </c>
      <c r="I10" s="16">
        <v>583</v>
      </c>
      <c r="J10" s="16">
        <v>136</v>
      </c>
      <c r="K10" s="18">
        <v>0.23327615780445971</v>
      </c>
      <c r="L10" s="81">
        <v>3981</v>
      </c>
      <c r="M10" s="81">
        <v>289</v>
      </c>
      <c r="N10" s="18">
        <v>7.2594825420748549E-2</v>
      </c>
      <c r="O10" s="81">
        <v>2927</v>
      </c>
      <c r="P10" s="81">
        <v>96</v>
      </c>
      <c r="Q10" s="18">
        <v>3.2798086778271271E-2</v>
      </c>
      <c r="R10" s="16">
        <v>1295</v>
      </c>
      <c r="S10" s="16">
        <v>93</v>
      </c>
      <c r="T10" s="18">
        <v>7.1814671814671813E-2</v>
      </c>
      <c r="V10" s="24">
        <f t="shared" si="0"/>
        <v>0</v>
      </c>
    </row>
    <row r="11" spans="1:22" x14ac:dyDescent="0.2">
      <c r="A11" s="19" t="s">
        <v>15</v>
      </c>
      <c r="B11" s="16">
        <v>52145</v>
      </c>
      <c r="C11" s="16">
        <v>1810</v>
      </c>
      <c r="D11" s="16">
        <v>140</v>
      </c>
      <c r="E11" s="18">
        <v>7.7348066298342538E-2</v>
      </c>
      <c r="F11" s="81">
        <v>3312</v>
      </c>
      <c r="G11" s="81">
        <v>753</v>
      </c>
      <c r="H11" s="18">
        <v>0.22735507246376813</v>
      </c>
      <c r="I11" s="16">
        <v>7718</v>
      </c>
      <c r="J11" s="16">
        <v>2783</v>
      </c>
      <c r="K11" s="18">
        <v>0.36058564394920967</v>
      </c>
      <c r="L11" s="81">
        <v>20201</v>
      </c>
      <c r="M11" s="81">
        <v>2183</v>
      </c>
      <c r="N11" s="18">
        <v>0.10806395722984011</v>
      </c>
      <c r="O11" s="81">
        <v>13093</v>
      </c>
      <c r="P11" s="81">
        <v>1386</v>
      </c>
      <c r="Q11" s="18">
        <v>0.10585809211028795</v>
      </c>
      <c r="R11" s="16">
        <v>6011</v>
      </c>
      <c r="S11" s="16">
        <v>1727</v>
      </c>
      <c r="T11" s="18">
        <v>0.28730660455830975</v>
      </c>
      <c r="V11" s="24">
        <f t="shared" si="0"/>
        <v>0</v>
      </c>
    </row>
    <row r="12" spans="1:22" x14ac:dyDescent="0.2">
      <c r="A12" s="19" t="s">
        <v>16</v>
      </c>
      <c r="B12" s="16">
        <v>19800</v>
      </c>
      <c r="C12" s="16">
        <v>1873</v>
      </c>
      <c r="D12" s="16">
        <v>281</v>
      </c>
      <c r="E12" s="18">
        <v>0.15002669514148426</v>
      </c>
      <c r="F12" s="81">
        <v>2075</v>
      </c>
      <c r="G12" s="81">
        <v>544</v>
      </c>
      <c r="H12" s="18">
        <v>0.26216867469879518</v>
      </c>
      <c r="I12" s="16">
        <v>783</v>
      </c>
      <c r="J12" s="16">
        <v>276</v>
      </c>
      <c r="K12" s="18">
        <v>0.35249042145593867</v>
      </c>
      <c r="L12" s="81">
        <v>4942</v>
      </c>
      <c r="M12" s="81">
        <v>288</v>
      </c>
      <c r="N12" s="18">
        <v>5.8276001618777822E-2</v>
      </c>
      <c r="O12" s="81">
        <v>7949</v>
      </c>
      <c r="P12" s="81">
        <v>1147</v>
      </c>
      <c r="Q12" s="18">
        <v>0.14429487985910178</v>
      </c>
      <c r="R12" s="16">
        <v>2178</v>
      </c>
      <c r="S12" s="16">
        <v>323</v>
      </c>
      <c r="T12" s="18">
        <v>0.14830119375573922</v>
      </c>
      <c r="V12" s="24">
        <f t="shared" si="0"/>
        <v>0</v>
      </c>
    </row>
    <row r="13" spans="1:22" x14ac:dyDescent="0.2">
      <c r="A13" s="19" t="s">
        <v>17</v>
      </c>
      <c r="B13" s="16">
        <v>126173</v>
      </c>
      <c r="C13" s="16">
        <v>7728</v>
      </c>
      <c r="D13" s="16">
        <v>2533</v>
      </c>
      <c r="E13" s="18">
        <v>0.32776915113871635</v>
      </c>
      <c r="F13" s="81">
        <v>19913</v>
      </c>
      <c r="G13" s="81">
        <v>7036</v>
      </c>
      <c r="H13" s="18">
        <v>0.35333701601968565</v>
      </c>
      <c r="I13" s="16">
        <v>12726</v>
      </c>
      <c r="J13" s="16">
        <v>3636</v>
      </c>
      <c r="K13" s="18">
        <v>0.2857142857142857</v>
      </c>
      <c r="L13" s="81">
        <v>26471</v>
      </c>
      <c r="M13" s="81">
        <v>4129</v>
      </c>
      <c r="N13" s="18">
        <v>0.1559820180574969</v>
      </c>
      <c r="O13" s="81">
        <v>44565</v>
      </c>
      <c r="P13" s="81">
        <v>7842</v>
      </c>
      <c r="Q13" s="18">
        <v>0.17596768764725682</v>
      </c>
      <c r="R13" s="16">
        <v>14770</v>
      </c>
      <c r="S13" s="16">
        <v>2857</v>
      </c>
      <c r="T13" s="18">
        <v>0.1934326337169939</v>
      </c>
      <c r="V13" s="24">
        <f t="shared" si="0"/>
        <v>0</v>
      </c>
    </row>
    <row r="14" spans="1:22" x14ac:dyDescent="0.2">
      <c r="A14" s="19" t="s">
        <v>18</v>
      </c>
      <c r="B14" s="16">
        <v>15103</v>
      </c>
      <c r="C14" s="16">
        <v>602</v>
      </c>
      <c r="D14" s="16">
        <v>78</v>
      </c>
      <c r="E14" s="18">
        <v>0.12956810631229235</v>
      </c>
      <c r="F14" s="81">
        <v>905</v>
      </c>
      <c r="G14" s="81">
        <v>289</v>
      </c>
      <c r="H14" s="18">
        <v>0.31933701657458563</v>
      </c>
      <c r="I14" s="16">
        <v>986</v>
      </c>
      <c r="J14" s="16">
        <v>638</v>
      </c>
      <c r="K14" s="18">
        <v>0.6470588235294118</v>
      </c>
      <c r="L14" s="81">
        <v>4119</v>
      </c>
      <c r="M14" s="81">
        <v>582</v>
      </c>
      <c r="N14" s="18">
        <v>0.1412964311726147</v>
      </c>
      <c r="O14" s="81">
        <v>5670</v>
      </c>
      <c r="P14" s="81">
        <v>771</v>
      </c>
      <c r="Q14" s="18">
        <v>0.13597883597883598</v>
      </c>
      <c r="R14" s="16">
        <v>2821</v>
      </c>
      <c r="S14" s="16">
        <v>833</v>
      </c>
      <c r="T14" s="18">
        <v>0.29528535980148884</v>
      </c>
      <c r="V14" s="24">
        <f t="shared" si="0"/>
        <v>0</v>
      </c>
    </row>
    <row r="15" spans="1:22" x14ac:dyDescent="0.2">
      <c r="A15" s="19" t="s">
        <v>19</v>
      </c>
      <c r="B15" s="16">
        <v>47038</v>
      </c>
      <c r="C15" s="16">
        <v>2749</v>
      </c>
      <c r="D15" s="16">
        <v>715</v>
      </c>
      <c r="E15" s="18">
        <v>0.26009457984721718</v>
      </c>
      <c r="F15" s="81">
        <v>6285</v>
      </c>
      <c r="G15" s="81">
        <v>1700</v>
      </c>
      <c r="H15" s="18">
        <v>0.27048528241845665</v>
      </c>
      <c r="I15" s="16">
        <v>4140</v>
      </c>
      <c r="J15" s="16">
        <v>910</v>
      </c>
      <c r="K15" s="18">
        <v>0.21980676328502416</v>
      </c>
      <c r="L15" s="81">
        <v>11635</v>
      </c>
      <c r="M15" s="81">
        <v>1374</v>
      </c>
      <c r="N15" s="18">
        <v>0.11809196390201977</v>
      </c>
      <c r="O15" s="81">
        <v>18033</v>
      </c>
      <c r="P15" s="81">
        <v>2086</v>
      </c>
      <c r="Q15" s="18">
        <v>0.11567681472855321</v>
      </c>
      <c r="R15" s="16">
        <v>4196</v>
      </c>
      <c r="S15" s="16">
        <v>763</v>
      </c>
      <c r="T15" s="18">
        <v>0.18183984747378457</v>
      </c>
      <c r="V15" s="24">
        <f t="shared" si="0"/>
        <v>0</v>
      </c>
    </row>
    <row r="16" spans="1:22" x14ac:dyDescent="0.2">
      <c r="A16" s="19" t="s">
        <v>20</v>
      </c>
      <c r="B16" s="16">
        <v>19372</v>
      </c>
      <c r="C16" s="16">
        <v>253</v>
      </c>
      <c r="D16" s="16">
        <v>146</v>
      </c>
      <c r="E16" s="18">
        <v>0.57707509881422925</v>
      </c>
      <c r="F16" s="81">
        <v>420</v>
      </c>
      <c r="G16" s="81">
        <v>184</v>
      </c>
      <c r="H16" s="18">
        <v>0.43809523809523809</v>
      </c>
      <c r="I16" s="16">
        <v>5992</v>
      </c>
      <c r="J16" s="16">
        <v>4278</v>
      </c>
      <c r="K16" s="18">
        <v>0.71395193591455275</v>
      </c>
      <c r="L16" s="81">
        <v>6612</v>
      </c>
      <c r="M16" s="81">
        <v>1300</v>
      </c>
      <c r="N16" s="18">
        <v>0.19661222020568664</v>
      </c>
      <c r="O16" s="81">
        <v>4533</v>
      </c>
      <c r="P16" s="81">
        <v>1080</v>
      </c>
      <c r="Q16" s="18">
        <v>0.23825281270681667</v>
      </c>
      <c r="R16" s="16">
        <v>1562</v>
      </c>
      <c r="S16" s="16">
        <v>606</v>
      </c>
      <c r="T16" s="18">
        <v>0.38796414852752881</v>
      </c>
      <c r="V16" s="24">
        <f t="shared" si="0"/>
        <v>0</v>
      </c>
    </row>
    <row r="17" spans="1:22" x14ac:dyDescent="0.2">
      <c r="A17" s="19" t="s">
        <v>21</v>
      </c>
      <c r="B17" s="16">
        <v>38493</v>
      </c>
      <c r="C17" s="16">
        <v>1812</v>
      </c>
      <c r="D17" s="16">
        <v>422</v>
      </c>
      <c r="E17" s="18">
        <v>0.23289183222958057</v>
      </c>
      <c r="F17" s="81">
        <v>6315</v>
      </c>
      <c r="G17" s="81">
        <v>1814</v>
      </c>
      <c r="H17" s="18">
        <v>0.28725257323832143</v>
      </c>
      <c r="I17" s="16">
        <v>3308</v>
      </c>
      <c r="J17" s="16">
        <v>531</v>
      </c>
      <c r="K17" s="18">
        <v>0.16051995163240629</v>
      </c>
      <c r="L17" s="81">
        <v>5427</v>
      </c>
      <c r="M17" s="81">
        <v>470</v>
      </c>
      <c r="N17" s="18">
        <v>8.6604016952275653E-2</v>
      </c>
      <c r="O17" s="81">
        <v>16136</v>
      </c>
      <c r="P17" s="81">
        <v>1636</v>
      </c>
      <c r="Q17" s="18">
        <v>0.10138820029747149</v>
      </c>
      <c r="R17" s="16">
        <v>5495</v>
      </c>
      <c r="S17" s="16">
        <v>870</v>
      </c>
      <c r="T17" s="18">
        <v>0.15832575068243859</v>
      </c>
      <c r="V17" s="24">
        <f t="shared" si="0"/>
        <v>0</v>
      </c>
    </row>
    <row r="18" spans="1:22" x14ac:dyDescent="0.2">
      <c r="A18" s="19" t="s">
        <v>22</v>
      </c>
      <c r="B18" s="16">
        <v>39985</v>
      </c>
      <c r="C18" s="16">
        <v>2599</v>
      </c>
      <c r="D18" s="16">
        <v>243</v>
      </c>
      <c r="E18" s="18">
        <v>9.3497499038091569E-2</v>
      </c>
      <c r="F18" s="81">
        <v>3881</v>
      </c>
      <c r="G18" s="81">
        <v>889</v>
      </c>
      <c r="H18" s="18">
        <v>0.22906467405307909</v>
      </c>
      <c r="I18" s="16">
        <v>2626</v>
      </c>
      <c r="J18" s="16">
        <v>618</v>
      </c>
      <c r="K18" s="18">
        <v>0.23533891850723535</v>
      </c>
      <c r="L18" s="81">
        <v>10915</v>
      </c>
      <c r="M18" s="81">
        <v>1233</v>
      </c>
      <c r="N18" s="18">
        <v>0.11296381126889601</v>
      </c>
      <c r="O18" s="81">
        <v>15540</v>
      </c>
      <c r="P18" s="81">
        <v>1476</v>
      </c>
      <c r="Q18" s="18">
        <v>9.4980694980694974E-2</v>
      </c>
      <c r="R18" s="16">
        <v>4424</v>
      </c>
      <c r="S18" s="16">
        <v>660</v>
      </c>
      <c r="T18" s="18">
        <v>0.14918625678119349</v>
      </c>
      <c r="V18" s="24">
        <f t="shared" si="0"/>
        <v>0</v>
      </c>
    </row>
    <row r="19" spans="1:22" x14ac:dyDescent="0.2">
      <c r="A19" s="19" t="s">
        <v>23</v>
      </c>
      <c r="B19" s="16">
        <v>390</v>
      </c>
      <c r="C19" s="16">
        <v>8</v>
      </c>
      <c r="D19" s="16">
        <v>0</v>
      </c>
      <c r="E19" s="18">
        <v>0</v>
      </c>
      <c r="F19" s="81">
        <v>0</v>
      </c>
      <c r="G19" s="81">
        <v>0</v>
      </c>
      <c r="H19" s="18" t="s">
        <v>273</v>
      </c>
      <c r="I19" s="16">
        <v>78</v>
      </c>
      <c r="J19" s="16">
        <v>58</v>
      </c>
      <c r="K19" s="18">
        <v>0.74358974358974361</v>
      </c>
      <c r="L19" s="81">
        <v>176</v>
      </c>
      <c r="M19" s="81">
        <v>31</v>
      </c>
      <c r="N19" s="18">
        <v>0.17613636363636365</v>
      </c>
      <c r="O19" s="81">
        <v>94</v>
      </c>
      <c r="P19" s="81">
        <v>16</v>
      </c>
      <c r="Q19" s="18">
        <v>0.1702127659574468</v>
      </c>
      <c r="R19" s="16">
        <v>34</v>
      </c>
      <c r="S19" s="16">
        <v>11</v>
      </c>
      <c r="T19" s="18">
        <v>0.3235294117647059</v>
      </c>
      <c r="V19" s="24">
        <f t="shared" si="0"/>
        <v>0</v>
      </c>
    </row>
    <row r="20" spans="1:22" x14ac:dyDescent="0.2">
      <c r="A20" s="19" t="s">
        <v>24</v>
      </c>
      <c r="B20" s="16">
        <v>26278</v>
      </c>
      <c r="C20" s="16">
        <v>1877</v>
      </c>
      <c r="D20" s="16">
        <v>809</v>
      </c>
      <c r="E20" s="18">
        <v>0.43100692594565798</v>
      </c>
      <c r="F20" s="81">
        <v>4532</v>
      </c>
      <c r="G20" s="81">
        <v>1506</v>
      </c>
      <c r="H20" s="18">
        <v>0.3323036187113857</v>
      </c>
      <c r="I20" s="16">
        <v>1966</v>
      </c>
      <c r="J20" s="16">
        <v>312</v>
      </c>
      <c r="K20" s="18">
        <v>0.15869786368260427</v>
      </c>
      <c r="L20" s="81">
        <v>4118</v>
      </c>
      <c r="M20" s="81">
        <v>567</v>
      </c>
      <c r="N20" s="18">
        <v>0.13768819815444391</v>
      </c>
      <c r="O20" s="81">
        <v>10361</v>
      </c>
      <c r="P20" s="81">
        <v>1626</v>
      </c>
      <c r="Q20" s="18">
        <v>0.15693465881671653</v>
      </c>
      <c r="R20" s="16">
        <v>3424</v>
      </c>
      <c r="S20" s="16">
        <v>463</v>
      </c>
      <c r="T20" s="18">
        <v>0.13522196261682243</v>
      </c>
      <c r="V20" s="24">
        <f t="shared" si="0"/>
        <v>0</v>
      </c>
    </row>
    <row r="21" spans="1:22" x14ac:dyDescent="0.2">
      <c r="A21" s="19" t="s">
        <v>47</v>
      </c>
      <c r="B21" s="16">
        <v>15244</v>
      </c>
      <c r="C21" s="16">
        <v>305</v>
      </c>
      <c r="D21" s="16">
        <v>87</v>
      </c>
      <c r="E21" s="18">
        <v>0.28524590163934427</v>
      </c>
      <c r="F21" s="81">
        <v>1160</v>
      </c>
      <c r="G21" s="81">
        <v>435</v>
      </c>
      <c r="H21" s="18">
        <v>0.375</v>
      </c>
      <c r="I21" s="16">
        <v>4661</v>
      </c>
      <c r="J21" s="16">
        <v>2548</v>
      </c>
      <c r="K21" s="18">
        <v>0.54666380605020382</v>
      </c>
      <c r="L21" s="81">
        <v>3659</v>
      </c>
      <c r="M21" s="81">
        <v>1006</v>
      </c>
      <c r="N21" s="18">
        <v>0.27493850778901341</v>
      </c>
      <c r="O21" s="81">
        <v>3898</v>
      </c>
      <c r="P21" s="81">
        <v>913</v>
      </c>
      <c r="Q21" s="18">
        <v>0.23422267829656235</v>
      </c>
      <c r="R21" s="16">
        <v>1561</v>
      </c>
      <c r="S21" s="16">
        <v>658</v>
      </c>
      <c r="T21" s="18">
        <v>0.42152466367713004</v>
      </c>
      <c r="V21" s="24">
        <f t="shared" si="0"/>
        <v>0</v>
      </c>
    </row>
    <row r="22" spans="1:22" x14ac:dyDescent="0.2">
      <c r="A22" s="19" t="s">
        <v>48</v>
      </c>
      <c r="B22" s="16">
        <v>8696</v>
      </c>
      <c r="C22" s="16">
        <v>186</v>
      </c>
      <c r="D22" s="16">
        <v>29</v>
      </c>
      <c r="E22" s="18">
        <v>0.15591397849462366</v>
      </c>
      <c r="F22" s="81">
        <v>314</v>
      </c>
      <c r="G22" s="81">
        <v>0</v>
      </c>
      <c r="H22" s="18">
        <v>0</v>
      </c>
      <c r="I22" s="16">
        <v>1060</v>
      </c>
      <c r="J22" s="16">
        <v>359</v>
      </c>
      <c r="K22" s="18">
        <v>0.33867924528301885</v>
      </c>
      <c r="L22" s="81">
        <v>4123</v>
      </c>
      <c r="M22" s="81">
        <v>171</v>
      </c>
      <c r="N22" s="18">
        <v>4.1474654377880185E-2</v>
      </c>
      <c r="O22" s="81">
        <v>2079</v>
      </c>
      <c r="P22" s="81">
        <v>51</v>
      </c>
      <c r="Q22" s="18">
        <v>2.4531024531024532E-2</v>
      </c>
      <c r="R22" s="16">
        <v>934</v>
      </c>
      <c r="S22" s="16">
        <v>89</v>
      </c>
      <c r="T22" s="18">
        <v>9.5289079229122053E-2</v>
      </c>
      <c r="V22" s="24">
        <f t="shared" si="0"/>
        <v>0</v>
      </c>
    </row>
    <row r="23" spans="1:22" x14ac:dyDescent="0.2">
      <c r="A23" s="19" t="s">
        <v>27</v>
      </c>
      <c r="B23" s="16">
        <v>29643</v>
      </c>
      <c r="C23" s="16">
        <v>1686</v>
      </c>
      <c r="D23" s="16">
        <v>205</v>
      </c>
      <c r="E23" s="18">
        <v>0.12158956109134045</v>
      </c>
      <c r="F23" s="81">
        <v>4254</v>
      </c>
      <c r="G23" s="81">
        <v>653</v>
      </c>
      <c r="H23" s="18">
        <v>0.15350258580159851</v>
      </c>
      <c r="I23" s="16">
        <v>2081</v>
      </c>
      <c r="J23" s="16">
        <v>252</v>
      </c>
      <c r="K23" s="18">
        <v>0.12109562710235464</v>
      </c>
      <c r="L23" s="81">
        <v>4784</v>
      </c>
      <c r="M23" s="81">
        <v>348</v>
      </c>
      <c r="N23" s="18">
        <v>7.2742474916387953E-2</v>
      </c>
      <c r="O23" s="81">
        <v>13230</v>
      </c>
      <c r="P23" s="81">
        <v>1040</v>
      </c>
      <c r="Q23" s="18">
        <v>7.8609221466364329E-2</v>
      </c>
      <c r="R23" s="16">
        <v>3608</v>
      </c>
      <c r="S23" s="16">
        <v>393</v>
      </c>
      <c r="T23" s="18">
        <v>0.10892461197339245</v>
      </c>
      <c r="V23" s="24">
        <f t="shared" si="0"/>
        <v>0</v>
      </c>
    </row>
    <row r="24" spans="1:22" x14ac:dyDescent="0.2">
      <c r="A24" s="19" t="s">
        <v>28</v>
      </c>
      <c r="B24" s="16">
        <v>50825</v>
      </c>
      <c r="C24" s="16">
        <v>3174</v>
      </c>
      <c r="D24" s="16">
        <v>1382</v>
      </c>
      <c r="E24" s="18">
        <v>0.43541272841839951</v>
      </c>
      <c r="F24" s="81">
        <v>8453</v>
      </c>
      <c r="G24" s="81">
        <v>3734</v>
      </c>
      <c r="H24" s="18">
        <v>0.44173666154028157</v>
      </c>
      <c r="I24" s="16">
        <v>6408</v>
      </c>
      <c r="J24" s="16">
        <v>2124</v>
      </c>
      <c r="K24" s="18">
        <v>0.33146067415730335</v>
      </c>
      <c r="L24" s="81">
        <v>8587</v>
      </c>
      <c r="M24" s="81">
        <v>1837</v>
      </c>
      <c r="N24" s="18">
        <v>0.21392803074414812</v>
      </c>
      <c r="O24" s="81">
        <v>17810</v>
      </c>
      <c r="P24" s="81">
        <v>4554</v>
      </c>
      <c r="Q24" s="18">
        <v>0.25569904548006739</v>
      </c>
      <c r="R24" s="16">
        <v>6393</v>
      </c>
      <c r="S24" s="16">
        <v>2474</v>
      </c>
      <c r="T24" s="18">
        <v>0.38698576568121384</v>
      </c>
      <c r="V24" s="24">
        <f t="shared" si="0"/>
        <v>0</v>
      </c>
    </row>
    <row r="25" spans="1:22" x14ac:dyDescent="0.2">
      <c r="A25" s="19" t="s">
        <v>29</v>
      </c>
      <c r="B25" s="16">
        <v>36595</v>
      </c>
      <c r="C25" s="16">
        <v>2044</v>
      </c>
      <c r="D25" s="16">
        <v>291</v>
      </c>
      <c r="E25" s="18">
        <v>0.14236790606653621</v>
      </c>
      <c r="F25" s="81">
        <v>2593</v>
      </c>
      <c r="G25" s="81">
        <v>954</v>
      </c>
      <c r="H25" s="18">
        <v>0.36791361357500962</v>
      </c>
      <c r="I25" s="16">
        <v>2380</v>
      </c>
      <c r="J25" s="16">
        <v>544</v>
      </c>
      <c r="K25" s="18">
        <v>0.22857142857142856</v>
      </c>
      <c r="L25" s="81">
        <v>14835</v>
      </c>
      <c r="M25" s="81">
        <v>860</v>
      </c>
      <c r="N25" s="18">
        <v>5.7971014492753624E-2</v>
      </c>
      <c r="O25" s="81">
        <v>11694</v>
      </c>
      <c r="P25" s="81">
        <v>1769</v>
      </c>
      <c r="Q25" s="18">
        <v>0.15127415768770311</v>
      </c>
      <c r="R25" s="16">
        <v>3049</v>
      </c>
      <c r="S25" s="16">
        <v>736</v>
      </c>
      <c r="T25" s="18">
        <v>0.24139061987536897</v>
      </c>
      <c r="V25" s="24">
        <f t="shared" si="0"/>
        <v>0</v>
      </c>
    </row>
    <row r="26" spans="1:22" x14ac:dyDescent="0.2">
      <c r="A26" s="19" t="s">
        <v>30</v>
      </c>
      <c r="B26" s="16">
        <v>4190</v>
      </c>
      <c r="C26" s="16">
        <v>112</v>
      </c>
      <c r="D26" s="16">
        <v>0</v>
      </c>
      <c r="E26" s="18">
        <v>0</v>
      </c>
      <c r="F26" s="81">
        <v>77</v>
      </c>
      <c r="G26" s="81">
        <v>11</v>
      </c>
      <c r="H26" s="18">
        <v>0.14285714285714285</v>
      </c>
      <c r="I26" s="16">
        <v>147</v>
      </c>
      <c r="J26" s="16">
        <v>21</v>
      </c>
      <c r="K26" s="18">
        <v>0.14285714285714285</v>
      </c>
      <c r="L26" s="81">
        <v>1721</v>
      </c>
      <c r="M26" s="81">
        <v>40</v>
      </c>
      <c r="N26" s="18">
        <v>2.3242300987797792E-2</v>
      </c>
      <c r="O26" s="81">
        <v>1779</v>
      </c>
      <c r="P26" s="81">
        <v>77</v>
      </c>
      <c r="Q26" s="18">
        <v>4.3282743114109047E-2</v>
      </c>
      <c r="R26" s="16">
        <v>354</v>
      </c>
      <c r="S26" s="16">
        <v>99</v>
      </c>
      <c r="T26" s="18">
        <v>0.27966101694915252</v>
      </c>
      <c r="V26" s="24">
        <f t="shared" si="0"/>
        <v>0</v>
      </c>
    </row>
    <row r="27" spans="1:22" x14ac:dyDescent="0.2">
      <c r="A27" s="19" t="s">
        <v>49</v>
      </c>
      <c r="B27" s="16">
        <v>32288</v>
      </c>
      <c r="C27" s="16">
        <v>1448</v>
      </c>
      <c r="D27" s="16">
        <v>271</v>
      </c>
      <c r="E27" s="18">
        <v>0.18715469613259669</v>
      </c>
      <c r="F27" s="81">
        <v>2512</v>
      </c>
      <c r="G27" s="81">
        <v>886</v>
      </c>
      <c r="H27" s="18">
        <v>0.35270700636942676</v>
      </c>
      <c r="I27" s="16">
        <v>2295</v>
      </c>
      <c r="J27" s="16">
        <v>876</v>
      </c>
      <c r="K27" s="18">
        <v>0.38169934640522873</v>
      </c>
      <c r="L27" s="81">
        <v>9058</v>
      </c>
      <c r="M27" s="81">
        <v>1113</v>
      </c>
      <c r="N27" s="18">
        <v>0.12287480680061824</v>
      </c>
      <c r="O27" s="81">
        <v>12615</v>
      </c>
      <c r="P27" s="81">
        <v>2044</v>
      </c>
      <c r="Q27" s="18">
        <v>0.16202933016250495</v>
      </c>
      <c r="R27" s="16">
        <v>4360</v>
      </c>
      <c r="S27" s="16">
        <v>1239</v>
      </c>
      <c r="T27" s="18">
        <v>0.28417431192660553</v>
      </c>
      <c r="V27" s="24">
        <f t="shared" si="0"/>
        <v>0</v>
      </c>
    </row>
    <row r="28" spans="1:22" x14ac:dyDescent="0.2">
      <c r="A28" s="19" t="s">
        <v>50</v>
      </c>
      <c r="B28" s="16">
        <v>5909</v>
      </c>
      <c r="C28" s="16">
        <v>210</v>
      </c>
      <c r="D28" s="16">
        <v>28</v>
      </c>
      <c r="E28" s="18">
        <v>0.13333333333333333</v>
      </c>
      <c r="F28" s="81">
        <v>204</v>
      </c>
      <c r="G28" s="81">
        <v>40</v>
      </c>
      <c r="H28" s="18">
        <v>0.19607843137254902</v>
      </c>
      <c r="I28" s="16">
        <v>317</v>
      </c>
      <c r="J28" s="16">
        <v>168</v>
      </c>
      <c r="K28" s="18">
        <v>0.52996845425867511</v>
      </c>
      <c r="L28" s="81">
        <v>1955</v>
      </c>
      <c r="M28" s="81">
        <v>117</v>
      </c>
      <c r="N28" s="18">
        <v>5.9846547314578002E-2</v>
      </c>
      <c r="O28" s="81">
        <v>2242</v>
      </c>
      <c r="P28" s="81">
        <v>342</v>
      </c>
      <c r="Q28" s="18">
        <v>0.15254237288135594</v>
      </c>
      <c r="R28" s="16">
        <v>981</v>
      </c>
      <c r="S28" s="16">
        <v>135</v>
      </c>
      <c r="T28" s="18">
        <v>0.13761467889908258</v>
      </c>
      <c r="V28" s="24">
        <f t="shared" si="0"/>
        <v>0</v>
      </c>
    </row>
    <row r="29" spans="1:22" x14ac:dyDescent="0.2">
      <c r="A29" s="19" t="s">
        <v>33</v>
      </c>
      <c r="B29" s="16">
        <v>33052</v>
      </c>
      <c r="C29" s="16">
        <v>2322</v>
      </c>
      <c r="D29" s="16">
        <v>188</v>
      </c>
      <c r="E29" s="18">
        <v>8.0964685615848409E-2</v>
      </c>
      <c r="F29" s="81">
        <v>4563</v>
      </c>
      <c r="G29" s="81">
        <v>298</v>
      </c>
      <c r="H29" s="18">
        <v>6.5307911461757615E-2</v>
      </c>
      <c r="I29" s="16">
        <v>1355</v>
      </c>
      <c r="J29" s="16">
        <v>210</v>
      </c>
      <c r="K29" s="18">
        <v>0.15498154981549817</v>
      </c>
      <c r="L29" s="81">
        <v>5023</v>
      </c>
      <c r="M29" s="81">
        <v>215</v>
      </c>
      <c r="N29" s="18">
        <v>4.2803105713716899E-2</v>
      </c>
      <c r="O29" s="81">
        <v>13715</v>
      </c>
      <c r="P29" s="81">
        <v>679</v>
      </c>
      <c r="Q29" s="18">
        <v>4.950783813343055E-2</v>
      </c>
      <c r="R29" s="16">
        <v>6074</v>
      </c>
      <c r="S29" s="16">
        <v>497</v>
      </c>
      <c r="T29" s="18">
        <v>8.1824168587421794E-2</v>
      </c>
      <c r="V29" s="24">
        <f t="shared" si="0"/>
        <v>0</v>
      </c>
    </row>
    <row r="31" spans="1:22" x14ac:dyDescent="0.2">
      <c r="A31" t="s">
        <v>34</v>
      </c>
    </row>
    <row r="32" spans="1:22" x14ac:dyDescent="0.2">
      <c r="A32" t="s">
        <v>259</v>
      </c>
    </row>
    <row r="33" spans="1:1" x14ac:dyDescent="0.2">
      <c r="A33" t="s">
        <v>274</v>
      </c>
    </row>
    <row r="34" spans="1:1" x14ac:dyDescent="0.2">
      <c r="A34" t="s">
        <v>261</v>
      </c>
    </row>
  </sheetData>
  <mergeCells count="7">
    <mergeCell ref="C3:E3"/>
    <mergeCell ref="I3:K3"/>
    <mergeCell ref="R3:T3"/>
    <mergeCell ref="B3:B4"/>
    <mergeCell ref="F3:H3"/>
    <mergeCell ref="L3:N3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Age</vt:lpstr>
      <vt:lpstr>Household Type</vt:lpstr>
      <vt:lpstr>Race</vt:lpstr>
      <vt:lpstr>Group Quarters Population</vt:lpstr>
      <vt:lpstr>Nativity</vt:lpstr>
      <vt:lpstr>Geographic Mobility</vt:lpstr>
      <vt:lpstr>Educational Attainment</vt:lpstr>
      <vt:lpstr>School Enrollment</vt:lpstr>
      <vt:lpstr>Means of Commuting</vt:lpstr>
      <vt:lpstr>Travel Time to Work</vt:lpstr>
      <vt:lpstr>Place of Work</vt:lpstr>
      <vt:lpstr>Per Capita Income</vt:lpstr>
      <vt:lpstr>Occupation</vt:lpstr>
      <vt:lpstr>Industries</vt:lpstr>
      <vt:lpstr>Labor Force</vt:lpstr>
      <vt:lpstr>Household Income</vt:lpstr>
      <vt:lpstr>Family Income</vt:lpstr>
      <vt:lpstr>Housing Tenure</vt:lpstr>
      <vt:lpstr>Bedrooms</vt:lpstr>
      <vt:lpstr>Vacancy Rates</vt:lpstr>
      <vt:lpstr>Vehicles per Household</vt:lpstr>
      <vt:lpstr>Poverty Rates</vt:lpstr>
      <vt:lpstr>Poverty Rates by Age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Dixon, Bianca</dc:creator>
  <cp:keywords/>
  <dc:description/>
  <cp:lastModifiedBy>Microsoft Office User</cp:lastModifiedBy>
  <cp:revision/>
  <dcterms:created xsi:type="dcterms:W3CDTF">2018-01-08T16:36:32Z</dcterms:created>
  <dcterms:modified xsi:type="dcterms:W3CDTF">2023-02-22T03:32:33Z</dcterms:modified>
  <cp:category/>
  <cp:contentStatus/>
</cp:coreProperties>
</file>